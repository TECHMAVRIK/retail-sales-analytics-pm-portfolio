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Sales_Data" sheetId="1" state="visible" r:id="rId3"/>
    <sheet name="Cleaned_Data" sheetId="2" state="visible" r:id="rId4"/>
    <sheet name="Pivot_Summary" sheetId="3" state="visible" r:id="rId5"/>
    <sheet name="Financial_Model" sheetId="4" state="visible" r:id="rId6"/>
    <sheet name="Inventory_Ris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<sst xmlns="http://schemas.openxmlformats.org/spreadsheetml/2006/main" count="7236" uniqueCount="652">
  <si>
    <t xml:space="preserve">Order_ID</t>
  </si>
  <si>
    <t xml:space="preserve">Order_Date</t>
  </si>
  <si>
    <t xml:space="preserve">Branch_Name</t>
  </si>
  <si>
    <t xml:space="preserve">Region</t>
  </si>
  <si>
    <t xml:space="preserve">Category</t>
  </si>
  <si>
    <t xml:space="preserve">SKU_ID</t>
  </si>
  <si>
    <t xml:space="preserve">Product_Name</t>
  </si>
  <si>
    <t xml:space="preserve">Quantity_Sold</t>
  </si>
  <si>
    <t xml:space="preserve">Unit_Price</t>
  </si>
  <si>
    <t xml:space="preserve">Cost_Price</t>
  </si>
  <si>
    <t xml:space="preserve">Stock_Available</t>
  </si>
  <si>
    <t xml:space="preserve">Customer_Type</t>
  </si>
  <si>
    <t xml:space="preserve">Revenue</t>
  </si>
  <si>
    <t xml:space="preserve">Profit</t>
  </si>
  <si>
    <t xml:space="preserve">ORD-1100</t>
  </si>
  <si>
    <t xml:space="preserve">North-01</t>
  </si>
  <si>
    <t xml:space="preserve">North</t>
  </si>
  <si>
    <t xml:space="preserve">Home Decor</t>
  </si>
  <si>
    <t xml:space="preserve">SKU-H001</t>
  </si>
  <si>
    <t xml:space="preserve">Ceramic Dinner Set</t>
  </si>
  <si>
    <t xml:space="preserve">Wholesale</t>
  </si>
  <si>
    <t xml:space="preserve">ORD-1403</t>
  </si>
  <si>
    <t xml:space="preserve">North-02</t>
  </si>
  <si>
    <t xml:space="preserve">Electronics</t>
  </si>
  <si>
    <t xml:space="preserve">SKU-E004</t>
  </si>
  <si>
    <t xml:space="preserve">Mobile Charger 65W</t>
  </si>
  <si>
    <t xml:space="preserve">Retail</t>
  </si>
  <si>
    <t xml:space="preserve">ORD-1003</t>
  </si>
  <si>
    <t xml:space="preserve">East-03</t>
  </si>
  <si>
    <t xml:space="preserve">East</t>
  </si>
  <si>
    <t xml:space="preserve">Apparel</t>
  </si>
  <si>
    <t xml:space="preserve">SKU-A005</t>
  </si>
  <si>
    <t xml:space="preserve">Winter Jacket</t>
  </si>
  <si>
    <t xml:space="preserve">ORD-1021</t>
  </si>
  <si>
    <t xml:space="preserve">South-01</t>
  </si>
  <si>
    <t xml:space="preserve">South</t>
  </si>
  <si>
    <t xml:space="preserve">SKU-A001</t>
  </si>
  <si>
    <t xml:space="preserve">Men's Formal Shirt</t>
  </si>
  <si>
    <t xml:space="preserve">ORD-1156</t>
  </si>
  <si>
    <t xml:space="preserve">Grocery</t>
  </si>
  <si>
    <t xml:space="preserve">SKU-G002</t>
  </si>
  <si>
    <t xml:space="preserve">Sunflower Oil 1L</t>
  </si>
  <si>
    <t xml:space="preserve">ORD-1344</t>
  </si>
  <si>
    <t xml:space="preserve">North-03</t>
  </si>
  <si>
    <t xml:space="preserve">SKU-H002</t>
  </si>
  <si>
    <t xml:space="preserve">Bamboo Photo Frame</t>
  </si>
  <si>
    <t xml:space="preserve">ORD-1286</t>
  </si>
  <si>
    <t xml:space="preserve">West-02</t>
  </si>
  <si>
    <t xml:space="preserve">West</t>
  </si>
  <si>
    <t xml:space="preserve">SKU-E001</t>
  </si>
  <si>
    <t xml:space="preserve">LED Smart TV 43in</t>
  </si>
  <si>
    <t xml:space="preserve">ORD-1349</t>
  </si>
  <si>
    <t xml:space="preserve">East-02</t>
  </si>
  <si>
    <t xml:space="preserve">ORD-1256</t>
  </si>
  <si>
    <t xml:space="preserve">SKU-H004</t>
  </si>
  <si>
    <t xml:space="preserve">Cotton Bedsheet</t>
  </si>
  <si>
    <t xml:space="preserve">ORD-1365</t>
  </si>
  <si>
    <t xml:space="preserve">ORD-1481</t>
  </si>
  <si>
    <t xml:space="preserve">West-03</t>
  </si>
  <si>
    <t xml:space="preserve">SKU-H005</t>
  </si>
  <si>
    <t xml:space="preserve">Wall Clock</t>
  </si>
  <si>
    <t xml:space="preserve">ORD-1202</t>
  </si>
  <si>
    <t xml:space="preserve">Stationery</t>
  </si>
  <si>
    <t xml:space="preserve">SKU-S003</t>
  </si>
  <si>
    <t xml:space="preserve">Sticky Notes Set</t>
  </si>
  <si>
    <t xml:space="preserve">ORD-1382</t>
  </si>
  <si>
    <t xml:space="preserve">SKU-H003</t>
  </si>
  <si>
    <t xml:space="preserve">Scented Candle Set</t>
  </si>
  <si>
    <t xml:space="preserve">ORD-1182</t>
  </si>
  <si>
    <t xml:space="preserve">SKU-S002</t>
  </si>
  <si>
    <t xml:space="preserve">Gel Pen Box</t>
  </si>
  <si>
    <t xml:space="preserve">ORD-1077</t>
  </si>
  <si>
    <t xml:space="preserve">South-02</t>
  </si>
  <si>
    <t xml:space="preserve">ORD-1325</t>
  </si>
  <si>
    <t xml:space="preserve">ORD-1328</t>
  </si>
  <si>
    <t xml:space="preserve">ORD-1467</t>
  </si>
  <si>
    <t xml:space="preserve">ORD-1129</t>
  </si>
  <si>
    <t xml:space="preserve">Sports</t>
  </si>
  <si>
    <t xml:space="preserve">SKU-P004</t>
  </si>
  <si>
    <t xml:space="preserve">Sports Bag</t>
  </si>
  <si>
    <t xml:space="preserve">ORD-1242</t>
  </si>
  <si>
    <t xml:space="preserve">SKU-P001</t>
  </si>
  <si>
    <t xml:space="preserve">Yoga Mat</t>
  </si>
  <si>
    <t xml:space="preserve">ORD-1441</t>
  </si>
  <si>
    <t xml:space="preserve">SKU-S004</t>
  </si>
  <si>
    <t xml:space="preserve">Desk Organizer</t>
  </si>
  <si>
    <t xml:space="preserve">ORD-1416</t>
  </si>
  <si>
    <t xml:space="preserve">SKU-A003</t>
  </si>
  <si>
    <t xml:space="preserve">Denim Jeans</t>
  </si>
  <si>
    <t xml:space="preserve">ORD-1167</t>
  </si>
  <si>
    <t xml:space="preserve">SKU-E005</t>
  </si>
  <si>
    <t xml:space="preserve">Laptop Stand</t>
  </si>
  <si>
    <t xml:space="preserve">ORD-1327</t>
  </si>
  <si>
    <t xml:space="preserve">ORD-1177</t>
  </si>
  <si>
    <t xml:space="preserve">West-01</t>
  </si>
  <si>
    <t xml:space="preserve">ORD-1309</t>
  </si>
  <si>
    <t xml:space="preserve">SKU-S001</t>
  </si>
  <si>
    <t xml:space="preserve">A4 Notebook Pack</t>
  </si>
  <si>
    <t xml:space="preserve">ORD-1006</t>
  </si>
  <si>
    <t xml:space="preserve">SKU-G005</t>
  </si>
  <si>
    <t xml:space="preserve">Organic Honey 500g</t>
  </si>
  <si>
    <t xml:space="preserve">ORD-1012</t>
  </si>
  <si>
    <t xml:space="preserve">ORD-1186</t>
  </si>
  <si>
    <t xml:space="preserve">SKU-S005</t>
  </si>
  <si>
    <t xml:space="preserve">Highlighter Set</t>
  </si>
  <si>
    <t xml:space="preserve">ORD-1194</t>
  </si>
  <si>
    <t xml:space="preserve">ORD-1474</t>
  </si>
  <si>
    <t xml:space="preserve">ORD-1221</t>
  </si>
  <si>
    <t xml:space="preserve">ORD-1086</t>
  </si>
  <si>
    <t xml:space="preserve">ORD-1230</t>
  </si>
  <si>
    <t xml:space="preserve">ORD-1152</t>
  </si>
  <si>
    <t xml:space="preserve">East-01</t>
  </si>
  <si>
    <t xml:space="preserve">ORD-1180</t>
  </si>
  <si>
    <t xml:space="preserve">ORD-1024</t>
  </si>
  <si>
    <t xml:space="preserve">ORD-1348</t>
  </si>
  <si>
    <t xml:space="preserve">ORD-1155</t>
  </si>
  <si>
    <t xml:space="preserve">ORD-1210</t>
  </si>
  <si>
    <t xml:space="preserve">ORD-1009</t>
  </si>
  <si>
    <t xml:space="preserve">SKU-A004</t>
  </si>
  <si>
    <t xml:space="preserve">Sports T-Shirt</t>
  </si>
  <si>
    <t xml:space="preserve">ORD-1264</t>
  </si>
  <si>
    <t xml:space="preserve">ORD-1266</t>
  </si>
  <si>
    <t xml:space="preserve">ORD-1299</t>
  </si>
  <si>
    <t xml:space="preserve">ORD-1357</t>
  </si>
  <si>
    <t xml:space="preserve">ORD-1205</t>
  </si>
  <si>
    <t xml:space="preserve">ORD-1045</t>
  </si>
  <si>
    <t xml:space="preserve">SKU-A002</t>
  </si>
  <si>
    <t xml:space="preserve">Women's Kurti</t>
  </si>
  <si>
    <t xml:space="preserve">ORD-1500</t>
  </si>
  <si>
    <t xml:space="preserve">SKU-P005</t>
  </si>
  <si>
    <t xml:space="preserve">Jump Rope</t>
  </si>
  <si>
    <t xml:space="preserve">ORD-1204</t>
  </si>
  <si>
    <t xml:space="preserve">ORD-1294</t>
  </si>
  <si>
    <t xml:space="preserve">ORD-1288</t>
  </si>
  <si>
    <t xml:space="preserve">ORD-1376</t>
  </si>
  <si>
    <t xml:space="preserve">ORD-1201</t>
  </si>
  <si>
    <t xml:space="preserve">South-03</t>
  </si>
  <si>
    <t xml:space="preserve">ORD-1341</t>
  </si>
  <si>
    <t xml:space="preserve">ORD-1270</t>
  </si>
  <si>
    <t xml:space="preserve">ORD-1284</t>
  </si>
  <si>
    <t xml:space="preserve">ORD-1285</t>
  </si>
  <si>
    <t xml:space="preserve">ORD-1312</t>
  </si>
  <si>
    <t xml:space="preserve">ORD-1395</t>
  </si>
  <si>
    <t xml:space="preserve">SKU-G001</t>
  </si>
  <si>
    <t xml:space="preserve">Basmati Rice 5kg</t>
  </si>
  <si>
    <t xml:space="preserve">ORD-1247</t>
  </si>
  <si>
    <t xml:space="preserve">ORD-1287</t>
  </si>
  <si>
    <t xml:space="preserve">ORD-1283</t>
  </si>
  <si>
    <t xml:space="preserve">ORD-1004</t>
  </si>
  <si>
    <t xml:space="preserve">ORD-1390</t>
  </si>
  <si>
    <t xml:space="preserve">ORD-1401</t>
  </si>
  <si>
    <t xml:space="preserve">ORD-1449</t>
  </si>
  <si>
    <t xml:space="preserve">SKU-P002</t>
  </si>
  <si>
    <t xml:space="preserve">Resistance Bands</t>
  </si>
  <si>
    <t xml:space="preserve">ORD-1036</t>
  </si>
  <si>
    <t xml:space="preserve">ORD-1394</t>
  </si>
  <si>
    <t xml:space="preserve">ORD-1496</t>
  </si>
  <si>
    <t xml:space="preserve">ORD-1056</t>
  </si>
  <si>
    <t xml:space="preserve">ORD-1295</t>
  </si>
  <si>
    <t xml:space="preserve">ORD-1253</t>
  </si>
  <si>
    <t xml:space="preserve">ORD-1161</t>
  </si>
  <si>
    <t xml:space="preserve">SKU-G003</t>
  </si>
  <si>
    <t xml:space="preserve">Mixed Nuts 500g</t>
  </si>
  <si>
    <t xml:space="preserve">ORD-1493</t>
  </si>
  <si>
    <t xml:space="preserve">ORD-1046</t>
  </si>
  <si>
    <t xml:space="preserve">ORD-1224</t>
  </si>
  <si>
    <t xml:space="preserve">ORD-1499</t>
  </si>
  <si>
    <t xml:space="preserve">ORD-1342</t>
  </si>
  <si>
    <t xml:space="preserve">ORD-1206</t>
  </si>
  <si>
    <t xml:space="preserve">ORD-1422</t>
  </si>
  <si>
    <t xml:space="preserve">ORD-1049</t>
  </si>
  <si>
    <t xml:space="preserve">ORD-1085</t>
  </si>
  <si>
    <t xml:space="preserve">ORD-1356</t>
  </si>
  <si>
    <t xml:space="preserve">ORD-1050</t>
  </si>
  <si>
    <t xml:space="preserve">ORD-1065</t>
  </si>
  <si>
    <t xml:space="preserve">ORD-1209</t>
  </si>
  <si>
    <t xml:space="preserve">ORD-1475</t>
  </si>
  <si>
    <t xml:space="preserve">ORD-1217</t>
  </si>
  <si>
    <t xml:space="preserve">ORD-1337</t>
  </si>
  <si>
    <t xml:space="preserve">ORD-1368</t>
  </si>
  <si>
    <t xml:space="preserve">SKU-P003</t>
  </si>
  <si>
    <t xml:space="preserve">Water Bottle 1L</t>
  </si>
  <si>
    <t xml:space="preserve">ORD-1066</t>
  </si>
  <si>
    <t xml:space="preserve">ORD-1370</t>
  </si>
  <si>
    <t xml:space="preserve">ORD-1240</t>
  </si>
  <si>
    <t xml:space="preserve">ORD-1355</t>
  </si>
  <si>
    <t xml:space="preserve">ORD-1125</t>
  </si>
  <si>
    <t xml:space="preserve">ORD-1218</t>
  </si>
  <si>
    <t xml:space="preserve">ORD-1482</t>
  </si>
  <si>
    <t xml:space="preserve">ORD-1453</t>
  </si>
  <si>
    <t xml:space="preserve">ORD-1185</t>
  </si>
  <si>
    <t xml:space="preserve">ORD-1087</t>
  </si>
  <si>
    <t xml:space="preserve">ORD-1175</t>
  </si>
  <si>
    <t xml:space="preserve">ORD-1090</t>
  </si>
  <si>
    <t xml:space="preserve">ORD-1464</t>
  </si>
  <si>
    <t xml:space="preserve">ORD-1338</t>
  </si>
  <si>
    <t xml:space="preserve">ORD-1315</t>
  </si>
  <si>
    <t xml:space="preserve">ORD-1490</t>
  </si>
  <si>
    <t xml:space="preserve">SKU-E003</t>
  </si>
  <si>
    <t xml:space="preserve">Bluetooth Speaker</t>
  </si>
  <si>
    <t xml:space="preserve">ORD-1181</t>
  </si>
  <si>
    <t xml:space="preserve">ORD-1016</t>
  </si>
  <si>
    <t xml:space="preserve">ORD-1410</t>
  </si>
  <si>
    <t xml:space="preserve">ORD-1446</t>
  </si>
  <si>
    <t xml:space="preserve">SKU-E002</t>
  </si>
  <si>
    <t xml:space="preserve">Wireless Headphones</t>
  </si>
  <si>
    <t xml:space="preserve">ORD-1399</t>
  </si>
  <si>
    <t xml:space="preserve">ORD-1433</t>
  </si>
  <si>
    <t xml:space="preserve">ORD-1350</t>
  </si>
  <si>
    <t xml:space="preserve">ORD-1385</t>
  </si>
  <si>
    <t xml:space="preserve">ORD-1136</t>
  </si>
  <si>
    <t xml:space="preserve">ORD-1137</t>
  </si>
  <si>
    <t xml:space="preserve">ORD-1015</t>
  </si>
  <si>
    <t xml:space="preserve">ORD-1479</t>
  </si>
  <si>
    <t xml:space="preserve">ORD-1084</t>
  </si>
  <si>
    <t xml:space="preserve">ORD-1362</t>
  </si>
  <si>
    <t xml:space="preserve">ORD-1150</t>
  </si>
  <si>
    <t xml:space="preserve">ORD-1434</t>
  </si>
  <si>
    <t xml:space="preserve">ORD-1268</t>
  </si>
  <si>
    <t xml:space="preserve">ORD-1445</t>
  </si>
  <si>
    <t xml:space="preserve">SKU-G004</t>
  </si>
  <si>
    <t xml:space="preserve">Green Tea 100 bags</t>
  </si>
  <si>
    <t xml:space="preserve">ORD-1025</t>
  </si>
  <si>
    <t xml:space="preserve">ORD-1133</t>
  </si>
  <si>
    <t xml:space="preserve">ORD-1082</t>
  </si>
  <si>
    <t xml:space="preserve">ORD-1246</t>
  </si>
  <si>
    <t xml:space="preserve">ORD-1486</t>
  </si>
  <si>
    <t xml:space="preserve">ORD-1318</t>
  </si>
  <si>
    <t xml:space="preserve">ORD-1054</t>
  </si>
  <si>
    <t xml:space="preserve">ORD-1225</t>
  </si>
  <si>
    <t xml:space="preserve">ORD-1478</t>
  </si>
  <si>
    <t xml:space="preserve">ORD-1451</t>
  </si>
  <si>
    <t xml:space="preserve">ORD-1330</t>
  </si>
  <si>
    <t xml:space="preserve">ORD-1305</t>
  </si>
  <si>
    <t xml:space="preserve">ORD-1041</t>
  </si>
  <si>
    <t xml:space="preserve">ORD-1424</t>
  </si>
  <si>
    <t xml:space="preserve">ORD-1151</t>
  </si>
  <si>
    <t xml:space="preserve">ORD-1080</t>
  </si>
  <si>
    <t xml:space="preserve">ORD-1128</t>
  </si>
  <si>
    <t xml:space="preserve">ORD-1375</t>
  </si>
  <si>
    <t xml:space="preserve">ORD-1432</t>
  </si>
  <si>
    <t xml:space="preserve">ORD-1260</t>
  </si>
  <si>
    <t xml:space="preserve">ORD-1235</t>
  </si>
  <si>
    <t xml:space="preserve">ORD-1398</t>
  </si>
  <si>
    <t xml:space="preserve">ORD-1359</t>
  </si>
  <si>
    <t xml:space="preserve">ORD-1498</t>
  </si>
  <si>
    <t xml:space="preserve">ORD-1261</t>
  </si>
  <si>
    <t xml:space="preserve">ORD-1367</t>
  </si>
  <si>
    <t xml:space="preserve">ORD-1135</t>
  </si>
  <si>
    <t xml:space="preserve">ORD-1042</t>
  </si>
  <si>
    <t xml:space="preserve">ORD-1022</t>
  </si>
  <si>
    <t xml:space="preserve">ORD-1069</t>
  </si>
  <si>
    <t xml:space="preserve">ORD-1108</t>
  </si>
  <si>
    <t xml:space="preserve">ORD-1178</t>
  </si>
  <si>
    <t xml:space="preserve">ORD-1430</t>
  </si>
  <si>
    <t xml:space="preserve">ORD-1231</t>
  </si>
  <si>
    <t xml:space="preserve">ORD-1298</t>
  </si>
  <si>
    <t xml:space="preserve">ORD-1134</t>
  </si>
  <si>
    <t xml:space="preserve">ORD-1076</t>
  </si>
  <si>
    <t xml:space="preserve">ORD-1277</t>
  </si>
  <si>
    <t xml:space="preserve">ORD-1300</t>
  </si>
  <si>
    <t xml:space="preserve">ORD-1252</t>
  </si>
  <si>
    <t xml:space="preserve">ORD-1333</t>
  </si>
  <si>
    <t xml:space="preserve">ORD-1043</t>
  </si>
  <si>
    <t xml:space="preserve">ORD-1373</t>
  </si>
  <si>
    <t xml:space="preserve">ORD-1171</t>
  </si>
  <si>
    <t xml:space="preserve">ORD-1162</t>
  </si>
  <si>
    <t xml:space="preserve">ORD-1310</t>
  </si>
  <si>
    <t xml:space="preserve">ORD-1032</t>
  </si>
  <si>
    <t xml:space="preserve">ORD-1092</t>
  </si>
  <si>
    <t xml:space="preserve">ORD-1222</t>
  </si>
  <si>
    <t xml:space="preserve">ORD-1111</t>
  </si>
  <si>
    <t xml:space="preserve">ORD-1093</t>
  </si>
  <si>
    <t xml:space="preserve">ORD-1014</t>
  </si>
  <si>
    <t xml:space="preserve">ORD-1248</t>
  </si>
  <si>
    <t xml:space="preserve">ORD-1075</t>
  </si>
  <si>
    <t xml:space="preserve">ORD-1124</t>
  </si>
  <si>
    <t xml:space="preserve">ORD-1236</t>
  </si>
  <si>
    <t xml:space="preserve">ORD-1339</t>
  </si>
  <si>
    <t xml:space="preserve">ORD-1165</t>
  </si>
  <si>
    <t xml:space="preserve">ORD-1038</t>
  </si>
  <si>
    <t xml:space="preserve">ORD-1429</t>
  </si>
  <si>
    <t xml:space="preserve">ORD-1465</t>
  </si>
  <si>
    <t xml:space="preserve">ORD-1148</t>
  </si>
  <si>
    <t xml:space="preserve">ORD-1166</t>
  </si>
  <si>
    <t xml:space="preserve">ORD-1237</t>
  </si>
  <si>
    <t xml:space="preserve">ORD-1241</t>
  </si>
  <si>
    <t xml:space="preserve">ORD-1243</t>
  </si>
  <si>
    <t xml:space="preserve">ORD-1091</t>
  </si>
  <si>
    <t xml:space="preserve">ORD-1104</t>
  </si>
  <si>
    <t xml:space="preserve">ORD-1404</t>
  </si>
  <si>
    <t xml:space="preserve">ORD-1331</t>
  </si>
  <si>
    <t xml:space="preserve">ORD-1197</t>
  </si>
  <si>
    <t xml:space="preserve">ORD-1250</t>
  </si>
  <si>
    <t xml:space="preserve">ORD-1431</t>
  </si>
  <si>
    <t xml:space="preserve">ORD-1454</t>
  </si>
  <si>
    <t xml:space="preserve">ORD-1320</t>
  </si>
  <si>
    <t xml:space="preserve">ORD-1402</t>
  </si>
  <si>
    <t xml:space="preserve">ORD-1437</t>
  </si>
  <si>
    <t xml:space="preserve">ORD-1114</t>
  </si>
  <si>
    <t xml:space="preserve">ORD-1228</t>
  </si>
  <si>
    <t xml:space="preserve">ORD-1215</t>
  </si>
  <si>
    <t xml:space="preserve">ORD-1417</t>
  </si>
  <si>
    <t xml:space="preserve">ORD-1372</t>
  </si>
  <si>
    <t xml:space="preserve">ORD-1340</t>
  </si>
  <si>
    <t xml:space="preserve">ORD-1426</t>
  </si>
  <si>
    <t xml:space="preserve">ORD-1017</t>
  </si>
  <si>
    <t xml:space="preserve">ORD-1071</t>
  </si>
  <si>
    <t xml:space="preserve">ORD-1439</t>
  </si>
  <si>
    <t xml:space="preserve">ORD-1047</t>
  </si>
  <si>
    <t xml:space="preserve">ORD-1346</t>
  </si>
  <si>
    <t xml:space="preserve">ORD-1369</t>
  </si>
  <si>
    <t xml:space="preserve">ORD-1183</t>
  </si>
  <si>
    <t xml:space="preserve">ORD-1060</t>
  </si>
  <si>
    <t xml:space="preserve">ORD-1275</t>
  </si>
  <si>
    <t xml:space="preserve">ORD-1123</t>
  </si>
  <si>
    <t xml:space="preserve">ORD-1335</t>
  </si>
  <si>
    <t xml:space="preserve">ORD-1173</t>
  </si>
  <si>
    <t xml:space="preserve">ORD-1245</t>
  </si>
  <si>
    <t xml:space="preserve">ORD-1435</t>
  </si>
  <si>
    <t xml:space="preserve">ORD-1497</t>
  </si>
  <si>
    <t xml:space="preserve">ORD-1272</t>
  </si>
  <si>
    <t xml:space="preserve">ORD-1098</t>
  </si>
  <si>
    <t xml:space="preserve">ORD-1170</t>
  </si>
  <si>
    <t xml:space="preserve">ORD-1470</t>
  </si>
  <si>
    <t xml:space="preserve">ORD-1457</t>
  </si>
  <si>
    <t xml:space="preserve">ORD-1037</t>
  </si>
  <si>
    <t xml:space="preserve">ORD-1314</t>
  </si>
  <si>
    <t xml:space="preserve">ORD-1267</t>
  </si>
  <si>
    <t xml:space="preserve">ORD-1291</t>
  </si>
  <si>
    <t xml:space="preserve">ORD-1073</t>
  </si>
  <si>
    <t xml:space="preserve">ORD-1068</t>
  </si>
  <si>
    <t xml:space="preserve">ORD-1396</t>
  </si>
  <si>
    <t xml:space="preserve">ORD-1423</t>
  </si>
  <si>
    <t xml:space="preserve">ORD-1121</t>
  </si>
  <si>
    <t xml:space="preserve">ORD-1198</t>
  </si>
  <si>
    <t xml:space="preserve">ORD-1146</t>
  </si>
  <si>
    <t xml:space="preserve">ORD-1234</t>
  </si>
  <si>
    <t xml:space="preserve">ORD-1190</t>
  </si>
  <si>
    <t xml:space="preserve">ORD-1371</t>
  </si>
  <si>
    <t xml:space="preserve">ORD-1274</t>
  </si>
  <si>
    <t xml:space="preserve">ORD-1381</t>
  </si>
  <si>
    <t xml:space="preserve">ORD-1308</t>
  </si>
  <si>
    <t xml:space="preserve">ORD-1491</t>
  </si>
  <si>
    <t xml:space="preserve">ORD-1138</t>
  </si>
  <si>
    <t xml:space="preserve">ORD-1132</t>
  </si>
  <si>
    <t xml:space="preserve">ORD-1174</t>
  </si>
  <si>
    <t xml:space="preserve">ORD-1343</t>
  </si>
  <si>
    <t xml:space="preserve">ORD-1070</t>
  </si>
  <si>
    <t xml:space="preserve">ORD-1364</t>
  </si>
  <si>
    <t xml:space="preserve">ORD-1040</t>
  </si>
  <si>
    <t xml:space="preserve">ORD-1145</t>
  </si>
  <si>
    <t xml:space="preserve">ORD-1144</t>
  </si>
  <si>
    <t xml:space="preserve">ORD-1428</t>
  </si>
  <si>
    <t xml:space="preserve">ORD-1293</t>
  </si>
  <si>
    <t xml:space="preserve">ORD-1005</t>
  </si>
  <si>
    <t xml:space="preserve">ORD-1067</t>
  </si>
  <si>
    <t xml:space="preserve">ORD-1112</t>
  </si>
  <si>
    <t xml:space="preserve">ORD-1484</t>
  </si>
  <si>
    <t xml:space="preserve">ORD-1179</t>
  </si>
  <si>
    <t xml:space="preserve">ORD-1105</t>
  </si>
  <si>
    <t xml:space="preserve">ORD-1360</t>
  </si>
  <si>
    <t xml:space="preserve">ORD-1380</t>
  </si>
  <si>
    <t xml:space="preserve">ORD-1443</t>
  </si>
  <si>
    <t xml:space="preserve">ORD-1195</t>
  </si>
  <si>
    <t xml:space="preserve">ORD-1290</t>
  </si>
  <si>
    <t xml:space="preserve">ORD-1311</t>
  </si>
  <si>
    <t xml:space="preserve">ORD-1353</t>
  </si>
  <si>
    <t xml:space="preserve">ORD-1393</t>
  </si>
  <si>
    <t xml:space="preserve">ORD-1319</t>
  </si>
  <si>
    <t xml:space="preserve">ORD-1472</t>
  </si>
  <si>
    <t xml:space="preserve">ORD-1126</t>
  </si>
  <si>
    <t xml:space="preserve">ORD-1301</t>
  </si>
  <si>
    <t xml:space="preserve">ORD-1292</t>
  </si>
  <si>
    <t xml:space="preserve">ORD-1412</t>
  </si>
  <si>
    <t xml:space="preserve">ORD-1336</t>
  </si>
  <si>
    <t xml:space="preserve">ORD-1351</t>
  </si>
  <si>
    <t xml:space="preserve">ORD-1099</t>
  </si>
  <si>
    <t xml:space="preserve">ORD-1051</t>
  </si>
  <si>
    <t xml:space="preserve">ORD-1419</t>
  </si>
  <si>
    <t xml:space="preserve">ORD-1061</t>
  </si>
  <si>
    <t xml:space="preserve">ORD-1208</t>
  </si>
  <si>
    <t xml:space="preserve">ORD-1115</t>
  </si>
  <si>
    <t xml:space="preserve">ORD-1332</t>
  </si>
  <si>
    <t xml:space="preserve">ORD-1143</t>
  </si>
  <si>
    <t xml:space="preserve">ORD-1188</t>
  </si>
  <si>
    <t xml:space="preserve">ORD-1361</t>
  </si>
  <si>
    <t xml:space="preserve">ORD-1063</t>
  </si>
  <si>
    <t xml:space="preserve">ORD-1262</t>
  </si>
  <si>
    <t xml:space="preserve">ORD-1458</t>
  </si>
  <si>
    <t xml:space="preserve">ORD-1019</t>
  </si>
  <si>
    <t xml:space="preserve">ORD-1118</t>
  </si>
  <si>
    <t xml:space="preserve">ORD-1196</t>
  </si>
  <si>
    <t xml:space="preserve">ORD-1081</t>
  </si>
  <si>
    <t xml:space="preserve">ORD-1378</t>
  </si>
  <si>
    <t xml:space="preserve">ORD-1039</t>
  </si>
  <si>
    <t xml:space="preserve">ORD-1487</t>
  </si>
  <si>
    <t xml:space="preserve">ORD-1296</t>
  </si>
  <si>
    <t xml:space="preserve">ORD-1316</t>
  </si>
  <si>
    <t xml:space="preserve">ORD-1354</t>
  </si>
  <si>
    <t xml:space="preserve">ORD-1048</t>
  </si>
  <si>
    <t xml:space="preserve">ORD-1064</t>
  </si>
  <si>
    <t xml:space="preserve">ORD-1169</t>
  </si>
  <si>
    <t xml:space="preserve">ORD-1110</t>
  </si>
  <si>
    <t xml:space="preserve">ORD-1406</t>
  </si>
  <si>
    <t xml:space="preserve">ORD-1097</t>
  </si>
  <si>
    <t xml:space="preserve">ORD-1254</t>
  </si>
  <si>
    <t xml:space="preserve">ORD-1345</t>
  </si>
  <si>
    <t xml:space="preserve">ORD-1418</t>
  </si>
  <si>
    <t xml:space="preserve">ORD-1485</t>
  </si>
  <si>
    <t xml:space="preserve">ORD-1140</t>
  </si>
  <si>
    <t xml:space="preserve">ORD-1492</t>
  </si>
  <si>
    <t xml:space="preserve">ORD-1494</t>
  </si>
  <si>
    <t xml:space="preserve">ORD-1168</t>
  </si>
  <si>
    <t xml:space="preserve">ORD-1323</t>
  </si>
  <si>
    <t xml:space="preserve">ORD-1020</t>
  </si>
  <si>
    <t xml:space="preserve">ORD-1374</t>
  </si>
  <si>
    <t xml:space="preserve">ORD-1255</t>
  </si>
  <si>
    <t xml:space="preserve">ORD-1421</t>
  </si>
  <si>
    <t xml:space="preserve">ORD-1033</t>
  </si>
  <si>
    <t xml:space="preserve">ORD-1192</t>
  </si>
  <si>
    <t xml:space="preserve">ORD-1438</t>
  </si>
  <si>
    <t xml:space="preserve">ORD-1139</t>
  </si>
  <si>
    <t xml:space="preserve">ORD-1044</t>
  </si>
  <si>
    <t xml:space="preserve">ORD-1278</t>
  </si>
  <si>
    <t xml:space="preserve">ORD-1377</t>
  </si>
  <si>
    <t xml:space="preserve">ORD-1057</t>
  </si>
  <si>
    <t xml:space="preserve">ORD-1052</t>
  </si>
  <si>
    <t xml:space="preserve">ORD-1117</t>
  </si>
  <si>
    <t xml:space="preserve">ORD-1427</t>
  </si>
  <si>
    <t xml:space="preserve">ORD-1094</t>
  </si>
  <si>
    <t xml:space="preserve">ORD-1184</t>
  </si>
  <si>
    <t xml:space="preserve">ORD-1383</t>
  </si>
  <si>
    <t xml:space="preserve">ORD-1023</t>
  </si>
  <si>
    <t xml:space="preserve">ORD-1313</t>
  </si>
  <si>
    <t xml:space="preserve">ORD-1027</t>
  </si>
  <si>
    <t xml:space="preserve">ORD-1452</t>
  </si>
  <si>
    <t xml:space="preserve">ORD-1083</t>
  </si>
  <si>
    <t xml:space="preserve">ORD-1107</t>
  </si>
  <si>
    <t xml:space="preserve">ORD-1216</t>
  </si>
  <si>
    <t xml:space="preserve">ORD-1102</t>
  </si>
  <si>
    <t xml:space="preserve">ORD-1079</t>
  </si>
  <si>
    <t xml:space="preserve">ORD-1074</t>
  </si>
  <si>
    <t xml:space="preserve">ORD-1131</t>
  </si>
  <si>
    <t xml:space="preserve">ORD-1440</t>
  </si>
  <si>
    <t xml:space="preserve">ORD-1387</t>
  </si>
  <si>
    <t xml:space="preserve">ORD-1397</t>
  </si>
  <si>
    <t xml:space="preserve">ORD-1471</t>
  </si>
  <si>
    <t xml:space="preserve">ORD-1324</t>
  </si>
  <si>
    <t xml:space="preserve">ORD-1326</t>
  </si>
  <si>
    <t xml:space="preserve">ORD-1116</t>
  </si>
  <si>
    <t xml:space="preserve">ORD-1220</t>
  </si>
  <si>
    <t xml:space="preserve">ORD-1010</t>
  </si>
  <si>
    <t xml:space="preserve">ORD-1058</t>
  </si>
  <si>
    <t xml:space="preserve">ORD-1034</t>
  </si>
  <si>
    <t xml:space="preserve">ORD-1420</t>
  </si>
  <si>
    <t xml:space="preserve">ORD-1106</t>
  </si>
  <si>
    <t xml:space="preserve">ORD-1147</t>
  </si>
  <si>
    <t xml:space="preserve">ORD-1189</t>
  </si>
  <si>
    <t xml:space="preserve">ORD-1030</t>
  </si>
  <si>
    <t xml:space="preserve">ORD-1053</t>
  </si>
  <si>
    <t xml:space="preserve">ORD-1193</t>
  </si>
  <si>
    <t xml:space="preserve">ORD-1409</t>
  </si>
  <si>
    <t xml:space="preserve">ORD-1211</t>
  </si>
  <si>
    <t xml:space="preserve">ORD-1226</t>
  </si>
  <si>
    <t xml:space="preserve">ORD-1444</t>
  </si>
  <si>
    <t xml:space="preserve">ORD-1413</t>
  </si>
  <si>
    <t xml:space="preserve">ORD-1160</t>
  </si>
  <si>
    <t xml:space="preserve">ORD-1282</t>
  </si>
  <si>
    <t xml:space="preserve">ORD-1366</t>
  </si>
  <si>
    <t xml:space="preserve">ORD-1018</t>
  </si>
  <si>
    <t xml:space="preserve">ORD-1008</t>
  </si>
  <si>
    <t xml:space="preserve">ORD-1384</t>
  </si>
  <si>
    <t xml:space="preserve">ORD-1352</t>
  </si>
  <si>
    <t xml:space="preserve">ORD-1495</t>
  </si>
  <si>
    <t xml:space="preserve">ORD-1238</t>
  </si>
  <si>
    <t xml:space="preserve">ORD-1257</t>
  </si>
  <si>
    <t xml:space="preserve">ORD-1407</t>
  </si>
  <si>
    <t xml:space="preserve">ORD-1029</t>
  </si>
  <si>
    <t xml:space="preserve">ORD-1279</t>
  </si>
  <si>
    <t xml:space="preserve">ORD-1035</t>
  </si>
  <si>
    <t xml:space="preserve">ORD-1191</t>
  </si>
  <si>
    <t xml:space="preserve">ORD-1448</t>
  </si>
  <si>
    <t xml:space="preserve">ORD-1141</t>
  </si>
  <si>
    <t xml:space="preserve">ORD-1026</t>
  </si>
  <si>
    <t xml:space="preserve">ORD-1207</t>
  </si>
  <si>
    <t xml:space="preserve">ORD-1103</t>
  </si>
  <si>
    <t xml:space="preserve">ORD-1223</t>
  </si>
  <si>
    <t xml:space="preserve">ORD-1276</t>
  </si>
  <si>
    <t xml:space="preserve">ORD-1363</t>
  </si>
  <si>
    <t xml:space="preserve">ORD-1149</t>
  </si>
  <si>
    <t xml:space="preserve">ORD-1233</t>
  </si>
  <si>
    <t xml:space="preserve">ORD-1269</t>
  </si>
  <si>
    <t xml:space="preserve">ORD-1414</t>
  </si>
  <si>
    <t xml:space="preserve">ORD-1304</t>
  </si>
  <si>
    <t xml:space="preserve">ORD-1358</t>
  </si>
  <si>
    <t xml:space="preserve">ORD-1031</t>
  </si>
  <si>
    <t xml:space="preserve">ORD-1480</t>
  </si>
  <si>
    <t xml:space="preserve">ORD-1119</t>
  </si>
  <si>
    <t xml:space="preserve">ORD-1214</t>
  </si>
  <si>
    <t xml:space="preserve">ORD-1466</t>
  </si>
  <si>
    <t xml:space="preserve">ORD-1489</t>
  </si>
  <si>
    <t xml:space="preserve">ORD-1158</t>
  </si>
  <si>
    <t xml:space="preserve">ORD-1096</t>
  </si>
  <si>
    <t xml:space="preserve">ORD-1219</t>
  </si>
  <si>
    <t xml:space="preserve">ORD-1436</t>
  </si>
  <si>
    <t xml:space="preserve">ORD-1011</t>
  </si>
  <si>
    <t xml:space="preserve">ORD-1062</t>
  </si>
  <si>
    <t xml:space="preserve">ORD-1389</t>
  </si>
  <si>
    <t xml:space="preserve">ORD-1289</t>
  </si>
  <si>
    <t xml:space="preserve">ORD-1329</t>
  </si>
  <si>
    <t xml:space="preserve">ORD-1473</t>
  </si>
  <si>
    <t xml:space="preserve">ORD-1392</t>
  </si>
  <si>
    <t xml:space="preserve">ORD-1459</t>
  </si>
  <si>
    <t xml:space="preserve">ORD-1447</t>
  </si>
  <si>
    <t xml:space="preserve">ORD-1013</t>
  </si>
  <si>
    <t xml:space="preserve">ORD-1078</t>
  </si>
  <si>
    <t xml:space="preserve">ORD-1297</t>
  </si>
  <si>
    <t xml:space="preserve">ORD-1095</t>
  </si>
  <si>
    <t xml:space="preserve">ORD-1307</t>
  </si>
  <si>
    <t xml:space="preserve">ORD-1002</t>
  </si>
  <si>
    <t xml:space="preserve">ORD-1477</t>
  </si>
  <si>
    <t xml:space="preserve">ORD-1302</t>
  </si>
  <si>
    <t xml:space="preserve">ORD-1213</t>
  </si>
  <si>
    <t xml:space="preserve">ORD-1271</t>
  </si>
  <si>
    <t xml:space="preserve">ORD-1251</t>
  </si>
  <si>
    <t xml:space="preserve">ORD-1153</t>
  </si>
  <si>
    <t xml:space="preserve">ORD-1415</t>
  </si>
  <si>
    <t xml:space="preserve">ORD-1476</t>
  </si>
  <si>
    <t xml:space="preserve">ORD-1388</t>
  </si>
  <si>
    <t xml:space="preserve">ORD-1400</t>
  </si>
  <si>
    <t xml:space="preserve">ORD-1212</t>
  </si>
  <si>
    <t xml:space="preserve">ORD-1227</t>
  </si>
  <si>
    <t xml:space="preserve">ORD-1379</t>
  </si>
  <si>
    <t xml:space="preserve">ORD-1159</t>
  </si>
  <si>
    <t xml:space="preserve">ORD-1176</t>
  </si>
  <si>
    <t xml:space="preserve">ORD-1450</t>
  </si>
  <si>
    <t xml:space="preserve">ORD-1088</t>
  </si>
  <si>
    <t xml:space="preserve">ORD-1469</t>
  </si>
  <si>
    <t xml:space="preserve">ORD-1089</t>
  </si>
  <si>
    <t xml:space="preserve">ORD-1164</t>
  </si>
  <si>
    <t xml:space="preserve">ORD-1101</t>
  </si>
  <si>
    <t xml:space="preserve">ORD-1072</t>
  </si>
  <si>
    <t xml:space="preserve">ORD-1122</t>
  </si>
  <si>
    <t xml:space="preserve">ORD-1411</t>
  </si>
  <si>
    <t xml:space="preserve">ORD-1163</t>
  </si>
  <si>
    <t xml:space="preserve">ORD-1055</t>
  </si>
  <si>
    <t xml:space="preserve">ORD-1280</t>
  </si>
  <si>
    <t xml:space="preserve">ORD-1187</t>
  </si>
  <si>
    <t xml:space="preserve">ORD-1303</t>
  </si>
  <si>
    <t xml:space="preserve">ORD-1306</t>
  </si>
  <si>
    <t xml:space="preserve">ORD-1334</t>
  </si>
  <si>
    <t xml:space="preserve">ORD-1007</t>
  </si>
  <si>
    <t xml:space="preserve">ORD-1322</t>
  </si>
  <si>
    <t xml:space="preserve">ORD-1059</t>
  </si>
  <si>
    <t xml:space="preserve">ORD-1127</t>
  </si>
  <si>
    <t xml:space="preserve">ORD-1281</t>
  </si>
  <si>
    <t xml:space="preserve">ORD-1244</t>
  </si>
  <si>
    <t xml:space="preserve">ORD-1405</t>
  </si>
  <si>
    <t xml:space="preserve">ORD-1200</t>
  </si>
  <si>
    <t xml:space="preserve">ORD-1258</t>
  </si>
  <si>
    <t xml:space="preserve">ORD-1391</t>
  </si>
  <si>
    <t xml:space="preserve">ORD-1461</t>
  </si>
  <si>
    <t xml:space="preserve">ORD-1468</t>
  </si>
  <si>
    <t xml:space="preserve">ORD-1172</t>
  </si>
  <si>
    <t xml:space="preserve">ORD-1259</t>
  </si>
  <si>
    <t xml:space="preserve">ORD-1109</t>
  </si>
  <si>
    <t xml:space="preserve">ORD-1456</t>
  </si>
  <si>
    <t xml:space="preserve">ORD-1249</t>
  </si>
  <si>
    <t xml:space="preserve">ORD-1157</t>
  </si>
  <si>
    <t xml:space="preserve">ORD-1239</t>
  </si>
  <si>
    <t xml:space="preserve">ORD-1462</t>
  </si>
  <si>
    <t xml:space="preserve">ORD-1130</t>
  </si>
  <si>
    <t xml:space="preserve">ORD-1265</t>
  </si>
  <si>
    <t xml:space="preserve">ORD-1483</t>
  </si>
  <si>
    <t xml:space="preserve">ORD-1001</t>
  </si>
  <si>
    <t xml:space="preserve">ORD-1442</t>
  </si>
  <si>
    <t xml:space="preserve">ORD-1463</t>
  </si>
  <si>
    <t xml:space="preserve">ORD-1455</t>
  </si>
  <si>
    <t xml:space="preserve">ORD-1154</t>
  </si>
  <si>
    <t xml:space="preserve">ORD-1199</t>
  </si>
  <si>
    <t xml:space="preserve">ORD-1425</t>
  </si>
  <si>
    <t xml:space="preserve">ORD-1113</t>
  </si>
  <si>
    <t xml:space="preserve">ORD-1460</t>
  </si>
  <si>
    <t xml:space="preserve">ORD-1120</t>
  </si>
  <si>
    <t xml:space="preserve">ORD-1408</t>
  </si>
  <si>
    <t xml:space="preserve">ORD-1229</t>
  </si>
  <si>
    <t xml:space="preserve">ORD-1232</t>
  </si>
  <si>
    <t xml:space="preserve">ORD-1347</t>
  </si>
  <si>
    <t xml:space="preserve">ORD-1321</t>
  </si>
  <si>
    <t xml:space="preserve">ORD-1028</t>
  </si>
  <si>
    <t xml:space="preserve">ORD-1386</t>
  </si>
  <si>
    <t xml:space="preserve">ORD-1142</t>
  </si>
  <si>
    <t xml:space="preserve">ORD-1203</t>
  </si>
  <si>
    <t xml:space="preserve">ORD-1263</t>
  </si>
  <si>
    <t xml:space="preserve">ORD-1273</t>
  </si>
  <si>
    <t xml:space="preserve">ORD-1317</t>
  </si>
  <si>
    <t xml:space="preserve">ORD-1488</t>
  </si>
  <si>
    <t xml:space="preserve">Margin_%</t>
  </si>
  <si>
    <t xml:space="preserve">Year</t>
  </si>
  <si>
    <t xml:space="preserve">Quarter</t>
  </si>
  <si>
    <t xml:space="preserve">Month_Name</t>
  </si>
  <si>
    <t xml:space="preserve">BRANCH REVENUE SUMMARY</t>
  </si>
  <si>
    <t xml:space="preserve">Branch</t>
  </si>
  <si>
    <t xml:space="preserve">Total Revenue (₹)</t>
  </si>
  <si>
    <t xml:space="preserve">Total Profit (₹)</t>
  </si>
  <si>
    <t xml:space="preserve">Gross Margin %</t>
  </si>
  <si>
    <t xml:space="preserve">Rank</t>
  </si>
  <si>
    <t xml:space="preserve">CATEGORY PERFORMANCE</t>
  </si>
  <si>
    <t xml:space="preserve">Units Sold</t>
  </si>
  <si>
    <t xml:space="preserve">Revenue (₹)</t>
  </si>
  <si>
    <t xml:space="preserve">Profit (₹)</t>
  </si>
  <si>
    <t xml:space="preserve">Margin %</t>
  </si>
  <si>
    <t xml:space="preserve">RETAIL SALES — FINANCIAL MODEL &amp; WHAT-IF ANALYSIS</t>
  </si>
  <si>
    <t xml:space="preserve">Project: Retail Sales Performance &amp; Inventory Optimization | Author: TECHMAVRIK</t>
  </si>
  <si>
    <t xml:space="preserve">⚙  KEY ASSUMPTIONS  (Blue = editable inputs)</t>
  </si>
  <si>
    <t xml:space="preserve">Base Annual Revenue (₹)</t>
  </si>
  <si>
    <t xml:space="preserve">← Actual FY2022 revenue from data</t>
  </si>
  <si>
    <t xml:space="preserve">Revenue Growth Rate — Base</t>
  </si>
  <si>
    <t xml:space="preserve">← Conservative estimate</t>
  </si>
  <si>
    <t xml:space="preserve">Revenue Growth Rate — Optimistic</t>
  </si>
  <si>
    <t xml:space="preserve">← Best case scenario</t>
  </si>
  <si>
    <t xml:space="preserve">Revenue Growth Rate — Pessimistic</t>
  </si>
  <si>
    <t xml:space="preserve">← Worst case scenario</t>
  </si>
  <si>
    <t xml:space="preserve">← Blended across all categories</t>
  </si>
  <si>
    <t xml:space="preserve">Operating Expense % of Revenue</t>
  </si>
  <si>
    <t xml:space="preserve">← Logistics + staff + rent</t>
  </si>
  <si>
    <t xml:space="preserve">Price Increase Scenario (%)</t>
  </si>
  <si>
    <t xml:space="preserve">← Toggle for sensitivity analysis</t>
  </si>
  <si>
    <t xml:space="preserve">Stockout Loss Rate (% of Revenue)</t>
  </si>
  <si>
    <t xml:space="preserve">← Estimated lost sales</t>
  </si>
  <si>
    <t xml:space="preserve">📊  3-YEAR REVENUE PROJECTION  (Base / Optimistic / Pessimistic)</t>
  </si>
  <si>
    <t xml:space="preserve">Metric</t>
  </si>
  <si>
    <t xml:space="preserve">FY 2022 (Actual)</t>
  </si>
  <si>
    <t xml:space="preserve">FY 2023 (Base)</t>
  </si>
  <si>
    <t xml:space="preserve">FY 2023 (Opt)</t>
  </si>
  <si>
    <t xml:space="preserve">FY 2023 (Pess)</t>
  </si>
  <si>
    <t xml:space="preserve">FY 2024 (Base)</t>
  </si>
  <si>
    <t xml:space="preserve">FY 2024 (Opt)</t>
  </si>
  <si>
    <t xml:space="preserve">FY 2024 (Pess)</t>
  </si>
  <si>
    <t xml:space="preserve">Gross Revenue (₹)</t>
  </si>
  <si>
    <t xml:space="preserve">Gross Profit (₹)</t>
  </si>
  <si>
    <t xml:space="preserve">Operating Expenses (₹)</t>
  </si>
  <si>
    <t xml:space="preserve">Net Operating Profit (₹)</t>
  </si>
  <si>
    <t xml:space="preserve">Stockout Revenue Loss (₹)</t>
  </si>
  <si>
    <t xml:space="preserve">INVENTORY RISK REGISTER — Slow Movers &amp; Stockout Flags</t>
  </si>
  <si>
    <t xml:space="preserve">Avg_Stock</t>
  </si>
  <si>
    <t xml:space="preserve">Total_Sold</t>
  </si>
  <si>
    <t xml:space="preserve">Stock-to-Sales Ratio</t>
  </si>
  <si>
    <t xml:space="preserve">Risk_Flag</t>
  </si>
  <si>
    <t xml:space="preserve">🟢 Healthy</t>
  </si>
  <si>
    <t xml:space="preserve">🟡 Stockout Risk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</si>
</sst>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\₹#,##0"/>
    <numFmt numFmtId="167" formatCode="0.0%"/>
    <numFmt numFmtId="168" formatCode="General"/>
    <numFmt numFmtId="169" formatCode="#,##0"/>
    <numFmt numFmtId="170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DEEAF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D4C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1F3864"/>
        <bgColor rgb="FF2F5496"/>
      </patternFill>
    </fill>
    <fill>
      <patternFill patternType="solid">
        <fgColor rgb="FFFCE4D6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EEAF1"/>
      </patternFill>
    </fill>
    <fill>
      <patternFill patternType="solid">
        <fgColor rgb="FFFFFF9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D4C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14" min="14" style="1" width="1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5" hidden="false" customHeight="true" outlineLevel="0" collapsed="false">
      <c r="A2" s="3" t="s">
        <v>14</v>
      </c>
      <c r="B2" s="4" t="n">
        <v>44563</v>
      </c>
      <c r="C2" s="3" t="s">
        <v>15</v>
      </c>
      <c r="D2" s="3" t="s">
        <v>16</v>
      </c>
      <c r="E2" s="3" t="s">
        <v>17</v>
      </c>
      <c r="F2" s="3" t="s">
        <v>18</v>
      </c>
      <c r="G2" s="5" t="s">
        <v>19</v>
      </c>
      <c r="H2" s="3" t="n">
        <v>6</v>
      </c>
      <c r="I2" s="6" t="n">
        <v>1237</v>
      </c>
      <c r="J2" s="6" t="n">
        <v>900</v>
      </c>
      <c r="K2" s="3" t="n">
        <v>31</v>
      </c>
      <c r="L2" s="3" t="s">
        <v>20</v>
      </c>
      <c r="M2" s="6" t="n">
        <v>7422</v>
      </c>
      <c r="N2" s="6" t="n">
        <v>2022</v>
      </c>
    </row>
    <row r="3" customFormat="false" ht="15" hidden="false" customHeight="true" outlineLevel="0" collapsed="false">
      <c r="A3" s="7" t="s">
        <v>21</v>
      </c>
      <c r="B3" s="8" t="n">
        <v>44565</v>
      </c>
      <c r="C3" s="7" t="s">
        <v>22</v>
      </c>
      <c r="D3" s="7" t="s">
        <v>16</v>
      </c>
      <c r="E3" s="7" t="s">
        <v>23</v>
      </c>
      <c r="F3" s="7" t="s">
        <v>24</v>
      </c>
      <c r="G3" s="9" t="s">
        <v>25</v>
      </c>
      <c r="H3" s="7" t="n">
        <v>14</v>
      </c>
      <c r="I3" s="10" t="n">
        <v>430</v>
      </c>
      <c r="J3" s="10" t="n">
        <v>350</v>
      </c>
      <c r="K3" s="7" t="n">
        <v>4</v>
      </c>
      <c r="L3" s="7" t="s">
        <v>26</v>
      </c>
      <c r="M3" s="10" t="n">
        <v>6020</v>
      </c>
      <c r="N3" s="10" t="n">
        <v>1120</v>
      </c>
    </row>
    <row r="4" customFormat="false" ht="15" hidden="false" customHeight="true" outlineLevel="0" collapsed="false">
      <c r="A4" s="3" t="s">
        <v>27</v>
      </c>
      <c r="B4" s="4" t="n">
        <v>44568</v>
      </c>
      <c r="C4" s="3" t="s">
        <v>28</v>
      </c>
      <c r="D4" s="3" t="s">
        <v>29</v>
      </c>
      <c r="E4" s="3" t="s">
        <v>30</v>
      </c>
      <c r="F4" s="3" t="s">
        <v>31</v>
      </c>
      <c r="G4" s="5" t="s">
        <v>32</v>
      </c>
      <c r="H4" s="3" t="n">
        <v>8</v>
      </c>
      <c r="I4" s="6" t="n">
        <v>1726</v>
      </c>
      <c r="J4" s="6" t="n">
        <v>1200</v>
      </c>
      <c r="K4" s="3" t="n">
        <v>23</v>
      </c>
      <c r="L4" s="3" t="s">
        <v>26</v>
      </c>
      <c r="M4" s="6" t="n">
        <v>13808</v>
      </c>
      <c r="N4" s="6" t="n">
        <v>4208</v>
      </c>
    </row>
    <row r="5" customFormat="false" ht="15" hidden="false" customHeight="true" outlineLevel="0" collapsed="false">
      <c r="A5" s="7" t="s">
        <v>33</v>
      </c>
      <c r="B5" s="8" t="n">
        <v>44569</v>
      </c>
      <c r="C5" s="7" t="s">
        <v>34</v>
      </c>
      <c r="D5" s="7" t="s">
        <v>35</v>
      </c>
      <c r="E5" s="7" t="s">
        <v>30</v>
      </c>
      <c r="F5" s="7" t="s">
        <v>36</v>
      </c>
      <c r="G5" s="9" t="s">
        <v>37</v>
      </c>
      <c r="H5" s="7" t="n">
        <v>10</v>
      </c>
      <c r="I5" s="10" t="n">
        <v>642</v>
      </c>
      <c r="J5" s="10" t="n">
        <v>450</v>
      </c>
      <c r="K5" s="7" t="n">
        <v>20</v>
      </c>
      <c r="L5" s="7" t="s">
        <v>26</v>
      </c>
      <c r="M5" s="10" t="n">
        <v>6420</v>
      </c>
      <c r="N5" s="10" t="n">
        <v>1920</v>
      </c>
    </row>
    <row r="6" customFormat="false" ht="15" hidden="false" customHeight="true" outlineLevel="0" collapsed="false">
      <c r="A6" s="3" t="s">
        <v>38</v>
      </c>
      <c r="B6" s="4" t="n">
        <v>44569</v>
      </c>
      <c r="C6" s="3" t="s">
        <v>34</v>
      </c>
      <c r="D6" s="3" t="s">
        <v>35</v>
      </c>
      <c r="E6" s="3" t="s">
        <v>39</v>
      </c>
      <c r="F6" s="3" t="s">
        <v>40</v>
      </c>
      <c r="G6" s="5" t="s">
        <v>41</v>
      </c>
      <c r="H6" s="3" t="n">
        <v>13</v>
      </c>
      <c r="I6" s="6" t="n">
        <v>109</v>
      </c>
      <c r="J6" s="6" t="n">
        <v>90</v>
      </c>
      <c r="K6" s="3" t="n">
        <v>24</v>
      </c>
      <c r="L6" s="3" t="s">
        <v>26</v>
      </c>
      <c r="M6" s="6" t="n">
        <v>1417</v>
      </c>
      <c r="N6" s="6" t="n">
        <v>247</v>
      </c>
    </row>
    <row r="7" customFormat="false" ht="15" hidden="false" customHeight="true" outlineLevel="0" collapsed="false">
      <c r="A7" s="7" t="s">
        <v>42</v>
      </c>
      <c r="B7" s="8" t="n">
        <v>44570</v>
      </c>
      <c r="C7" s="7" t="s">
        <v>43</v>
      </c>
      <c r="D7" s="7" t="s">
        <v>16</v>
      </c>
      <c r="E7" s="7" t="s">
        <v>17</v>
      </c>
      <c r="F7" s="7" t="s">
        <v>44</v>
      </c>
      <c r="G7" s="9" t="s">
        <v>45</v>
      </c>
      <c r="H7" s="7" t="n">
        <v>11</v>
      </c>
      <c r="I7" s="10" t="n">
        <v>355</v>
      </c>
      <c r="J7" s="10" t="n">
        <v>250</v>
      </c>
      <c r="K7" s="7" t="n">
        <v>10</v>
      </c>
      <c r="L7" s="7" t="s">
        <v>20</v>
      </c>
      <c r="M7" s="10" t="n">
        <v>3905</v>
      </c>
      <c r="N7" s="10" t="n">
        <v>1155</v>
      </c>
    </row>
    <row r="8" customFormat="false" ht="15" hidden="false" customHeight="true" outlineLevel="0" collapsed="false">
      <c r="A8" s="3" t="s">
        <v>46</v>
      </c>
      <c r="B8" s="4" t="n">
        <v>44571</v>
      </c>
      <c r="C8" s="3" t="s">
        <v>47</v>
      </c>
      <c r="D8" s="3" t="s">
        <v>48</v>
      </c>
      <c r="E8" s="3" t="s">
        <v>23</v>
      </c>
      <c r="F8" s="3" t="s">
        <v>49</v>
      </c>
      <c r="G8" s="5" t="s">
        <v>50</v>
      </c>
      <c r="H8" s="3" t="n">
        <v>7</v>
      </c>
      <c r="I8" s="6" t="n">
        <v>21752</v>
      </c>
      <c r="J8" s="6" t="n">
        <v>18000</v>
      </c>
      <c r="K8" s="3" t="n">
        <v>5</v>
      </c>
      <c r="L8" s="3" t="s">
        <v>20</v>
      </c>
      <c r="M8" s="6" t="n">
        <v>152264</v>
      </c>
      <c r="N8" s="6" t="n">
        <v>26264</v>
      </c>
    </row>
    <row r="9" customFormat="false" ht="15" hidden="false" customHeight="true" outlineLevel="0" collapsed="false">
      <c r="A9" s="7" t="s">
        <v>51</v>
      </c>
      <c r="B9" s="8" t="n">
        <v>44574</v>
      </c>
      <c r="C9" s="7" t="s">
        <v>52</v>
      </c>
      <c r="D9" s="7" t="s">
        <v>29</v>
      </c>
      <c r="E9" s="7" t="s">
        <v>17</v>
      </c>
      <c r="F9" s="7" t="s">
        <v>18</v>
      </c>
      <c r="G9" s="9" t="s">
        <v>19</v>
      </c>
      <c r="H9" s="7" t="n">
        <v>11</v>
      </c>
      <c r="I9" s="10" t="n">
        <v>1227</v>
      </c>
      <c r="J9" s="10" t="n">
        <v>900</v>
      </c>
      <c r="K9" s="7" t="n">
        <v>10</v>
      </c>
      <c r="L9" s="7" t="s">
        <v>26</v>
      </c>
      <c r="M9" s="10" t="n">
        <v>13497</v>
      </c>
      <c r="N9" s="10" t="n">
        <v>3597</v>
      </c>
    </row>
    <row r="10" customFormat="false" ht="15" hidden="false" customHeight="true" outlineLevel="0" collapsed="false">
      <c r="A10" s="3" t="s">
        <v>53</v>
      </c>
      <c r="B10" s="4" t="n">
        <v>44584</v>
      </c>
      <c r="C10" s="3" t="s">
        <v>28</v>
      </c>
      <c r="D10" s="3" t="s">
        <v>29</v>
      </c>
      <c r="E10" s="3" t="s">
        <v>17</v>
      </c>
      <c r="F10" s="3" t="s">
        <v>54</v>
      </c>
      <c r="G10" s="5" t="s">
        <v>55</v>
      </c>
      <c r="H10" s="3" t="n">
        <v>9</v>
      </c>
      <c r="I10" s="6" t="n">
        <v>634</v>
      </c>
      <c r="J10" s="6" t="n">
        <v>450</v>
      </c>
      <c r="K10" s="3" t="n">
        <v>49</v>
      </c>
      <c r="L10" s="3" t="s">
        <v>26</v>
      </c>
      <c r="M10" s="6" t="n">
        <v>5706</v>
      </c>
      <c r="N10" s="6" t="n">
        <v>1656</v>
      </c>
    </row>
    <row r="11" customFormat="false" ht="15" hidden="false" customHeight="true" outlineLevel="0" collapsed="false">
      <c r="A11" s="7" t="s">
        <v>56</v>
      </c>
      <c r="B11" s="8" t="n">
        <v>44586</v>
      </c>
      <c r="C11" s="7" t="s">
        <v>52</v>
      </c>
      <c r="D11" s="7" t="s">
        <v>29</v>
      </c>
      <c r="E11" s="7" t="s">
        <v>30</v>
      </c>
      <c r="F11" s="7" t="s">
        <v>31</v>
      </c>
      <c r="G11" s="9" t="s">
        <v>32</v>
      </c>
      <c r="H11" s="7" t="n">
        <v>4</v>
      </c>
      <c r="I11" s="10" t="n">
        <v>1785</v>
      </c>
      <c r="J11" s="10" t="n">
        <v>1200</v>
      </c>
      <c r="K11" s="7" t="n">
        <v>6</v>
      </c>
      <c r="L11" s="7" t="s">
        <v>26</v>
      </c>
      <c r="M11" s="10" t="n">
        <v>7140</v>
      </c>
      <c r="N11" s="10" t="n">
        <v>2340</v>
      </c>
    </row>
    <row r="12" customFormat="false" ht="15" hidden="false" customHeight="true" outlineLevel="0" collapsed="false">
      <c r="A12" s="3" t="s">
        <v>57</v>
      </c>
      <c r="B12" s="4" t="n">
        <v>44587</v>
      </c>
      <c r="C12" s="3" t="s">
        <v>58</v>
      </c>
      <c r="D12" s="3" t="s">
        <v>48</v>
      </c>
      <c r="E12" s="3" t="s">
        <v>17</v>
      </c>
      <c r="F12" s="3" t="s">
        <v>59</v>
      </c>
      <c r="G12" s="5" t="s">
        <v>60</v>
      </c>
      <c r="H12" s="3" t="n">
        <v>14</v>
      </c>
      <c r="I12" s="6" t="n">
        <v>384</v>
      </c>
      <c r="J12" s="6" t="n">
        <v>280</v>
      </c>
      <c r="K12" s="3" t="n">
        <v>6</v>
      </c>
      <c r="L12" s="3" t="s">
        <v>26</v>
      </c>
      <c r="M12" s="6" t="n">
        <v>5376</v>
      </c>
      <c r="N12" s="6" t="n">
        <v>1456</v>
      </c>
    </row>
    <row r="13" customFormat="false" ht="15" hidden="false" customHeight="true" outlineLevel="0" collapsed="false">
      <c r="A13" s="7" t="s">
        <v>61</v>
      </c>
      <c r="B13" s="8" t="n">
        <v>44588</v>
      </c>
      <c r="C13" s="7" t="s">
        <v>43</v>
      </c>
      <c r="D13" s="7" t="s">
        <v>16</v>
      </c>
      <c r="E13" s="7" t="s">
        <v>62</v>
      </c>
      <c r="F13" s="7" t="s">
        <v>63</v>
      </c>
      <c r="G13" s="9" t="s">
        <v>64</v>
      </c>
      <c r="H13" s="7" t="n">
        <v>11</v>
      </c>
      <c r="I13" s="10" t="n">
        <v>80</v>
      </c>
      <c r="J13" s="10" t="n">
        <v>60</v>
      </c>
      <c r="K13" s="7" t="n">
        <v>21</v>
      </c>
      <c r="L13" s="7" t="s">
        <v>20</v>
      </c>
      <c r="M13" s="10" t="n">
        <v>880</v>
      </c>
      <c r="N13" s="10" t="n">
        <v>220</v>
      </c>
    </row>
    <row r="14" customFormat="false" ht="15" hidden="false" customHeight="true" outlineLevel="0" collapsed="false">
      <c r="A14" s="3" t="s">
        <v>65</v>
      </c>
      <c r="B14" s="4" t="n">
        <v>44588</v>
      </c>
      <c r="C14" s="3" t="s">
        <v>28</v>
      </c>
      <c r="D14" s="3" t="s">
        <v>29</v>
      </c>
      <c r="E14" s="3" t="s">
        <v>17</v>
      </c>
      <c r="F14" s="3" t="s">
        <v>66</v>
      </c>
      <c r="G14" s="5" t="s">
        <v>67</v>
      </c>
      <c r="H14" s="3" t="n">
        <v>9</v>
      </c>
      <c r="I14" s="6" t="n">
        <v>510</v>
      </c>
      <c r="J14" s="6" t="n">
        <v>350</v>
      </c>
      <c r="K14" s="3" t="n">
        <v>30</v>
      </c>
      <c r="L14" s="3" t="s">
        <v>26</v>
      </c>
      <c r="M14" s="6" t="n">
        <v>4590</v>
      </c>
      <c r="N14" s="6" t="n">
        <v>1440</v>
      </c>
    </row>
    <row r="15" customFormat="false" ht="15" hidden="false" customHeight="true" outlineLevel="0" collapsed="false">
      <c r="A15" s="7" t="s">
        <v>68</v>
      </c>
      <c r="B15" s="8" t="n">
        <v>44589</v>
      </c>
      <c r="C15" s="7" t="s">
        <v>52</v>
      </c>
      <c r="D15" s="7" t="s">
        <v>29</v>
      </c>
      <c r="E15" s="7" t="s">
        <v>62</v>
      </c>
      <c r="F15" s="7" t="s">
        <v>69</v>
      </c>
      <c r="G15" s="9" t="s">
        <v>70</v>
      </c>
      <c r="H15" s="7" t="n">
        <v>2</v>
      </c>
      <c r="I15" s="10" t="n">
        <v>70</v>
      </c>
      <c r="J15" s="10" t="n">
        <v>50</v>
      </c>
      <c r="K15" s="7" t="n">
        <v>34</v>
      </c>
      <c r="L15" s="7" t="s">
        <v>26</v>
      </c>
      <c r="M15" s="10" t="n">
        <v>140</v>
      </c>
      <c r="N15" s="10" t="n">
        <v>40</v>
      </c>
    </row>
    <row r="16" customFormat="false" ht="15" hidden="false" customHeight="true" outlineLevel="0" collapsed="false">
      <c r="A16" s="3" t="s">
        <v>71</v>
      </c>
      <c r="B16" s="4" t="n">
        <v>44591</v>
      </c>
      <c r="C16" s="3" t="s">
        <v>72</v>
      </c>
      <c r="D16" s="3" t="s">
        <v>35</v>
      </c>
      <c r="E16" s="3" t="s">
        <v>17</v>
      </c>
      <c r="F16" s="3" t="s">
        <v>44</v>
      </c>
      <c r="G16" s="5" t="s">
        <v>45</v>
      </c>
      <c r="H16" s="3" t="n">
        <v>10</v>
      </c>
      <c r="I16" s="6" t="n">
        <v>359</v>
      </c>
      <c r="J16" s="6" t="n">
        <v>250</v>
      </c>
      <c r="K16" s="3" t="n">
        <v>48</v>
      </c>
      <c r="L16" s="3" t="s">
        <v>26</v>
      </c>
      <c r="M16" s="6" t="n">
        <v>3590</v>
      </c>
      <c r="N16" s="6" t="n">
        <v>1090</v>
      </c>
    </row>
    <row r="17" customFormat="false" ht="15" hidden="false" customHeight="true" outlineLevel="0" collapsed="false">
      <c r="A17" s="7" t="s">
        <v>73</v>
      </c>
      <c r="B17" s="8" t="n">
        <v>44593</v>
      </c>
      <c r="C17" s="7" t="s">
        <v>47</v>
      </c>
      <c r="D17" s="7" t="s">
        <v>48</v>
      </c>
      <c r="E17" s="7" t="s">
        <v>17</v>
      </c>
      <c r="F17" s="7" t="s">
        <v>54</v>
      </c>
      <c r="G17" s="9" t="s">
        <v>55</v>
      </c>
      <c r="H17" s="7" t="n">
        <v>8</v>
      </c>
      <c r="I17" s="10" t="n">
        <v>643</v>
      </c>
      <c r="J17" s="10" t="n">
        <v>450</v>
      </c>
      <c r="K17" s="7" t="n">
        <v>4</v>
      </c>
      <c r="L17" s="7" t="s">
        <v>26</v>
      </c>
      <c r="M17" s="10" t="n">
        <v>5144</v>
      </c>
      <c r="N17" s="10" t="n">
        <v>1544</v>
      </c>
    </row>
    <row r="18" customFormat="false" ht="15" hidden="false" customHeight="true" outlineLevel="0" collapsed="false">
      <c r="A18" s="3" t="s">
        <v>74</v>
      </c>
      <c r="B18" s="4" t="n">
        <v>44595</v>
      </c>
      <c r="C18" s="3" t="s">
        <v>52</v>
      </c>
      <c r="D18" s="3" t="s">
        <v>29</v>
      </c>
      <c r="E18" s="3" t="s">
        <v>62</v>
      </c>
      <c r="F18" s="3" t="s">
        <v>69</v>
      </c>
      <c r="G18" s="5" t="s">
        <v>70</v>
      </c>
      <c r="H18" s="3" t="n">
        <v>2</v>
      </c>
      <c r="I18" s="6" t="n">
        <v>71</v>
      </c>
      <c r="J18" s="6" t="n">
        <v>50</v>
      </c>
      <c r="K18" s="3" t="n">
        <v>25</v>
      </c>
      <c r="L18" s="3" t="s">
        <v>26</v>
      </c>
      <c r="M18" s="6" t="n">
        <v>142</v>
      </c>
      <c r="N18" s="6" t="n">
        <v>42</v>
      </c>
    </row>
    <row r="19" customFormat="false" ht="15" hidden="false" customHeight="true" outlineLevel="0" collapsed="false">
      <c r="A19" s="7" t="s">
        <v>75</v>
      </c>
      <c r="B19" s="8" t="n">
        <v>44598</v>
      </c>
      <c r="C19" s="7" t="s">
        <v>22</v>
      </c>
      <c r="D19" s="7" t="s">
        <v>16</v>
      </c>
      <c r="E19" s="7" t="s">
        <v>17</v>
      </c>
      <c r="F19" s="7" t="s">
        <v>54</v>
      </c>
      <c r="G19" s="9" t="s">
        <v>55</v>
      </c>
      <c r="H19" s="7" t="n">
        <v>8</v>
      </c>
      <c r="I19" s="10" t="n">
        <v>618</v>
      </c>
      <c r="J19" s="10" t="n">
        <v>450</v>
      </c>
      <c r="K19" s="7" t="n">
        <v>12</v>
      </c>
      <c r="L19" s="7" t="s">
        <v>20</v>
      </c>
      <c r="M19" s="10" t="n">
        <v>4944</v>
      </c>
      <c r="N19" s="10" t="n">
        <v>1344</v>
      </c>
    </row>
    <row r="20" customFormat="false" ht="15" hidden="false" customHeight="true" outlineLevel="0" collapsed="false">
      <c r="A20" s="3" t="s">
        <v>76</v>
      </c>
      <c r="B20" s="4" t="n">
        <v>44600</v>
      </c>
      <c r="C20" s="3" t="s">
        <v>22</v>
      </c>
      <c r="D20" s="3" t="s">
        <v>16</v>
      </c>
      <c r="E20" s="3" t="s">
        <v>77</v>
      </c>
      <c r="F20" s="3" t="s">
        <v>78</v>
      </c>
      <c r="G20" s="5" t="s">
        <v>79</v>
      </c>
      <c r="H20" s="3" t="n">
        <v>5</v>
      </c>
      <c r="I20" s="6" t="n">
        <v>1293</v>
      </c>
      <c r="J20" s="6" t="n">
        <v>900</v>
      </c>
      <c r="K20" s="3" t="n">
        <v>4</v>
      </c>
      <c r="L20" s="3" t="s">
        <v>26</v>
      </c>
      <c r="M20" s="6" t="n">
        <v>6465</v>
      </c>
      <c r="N20" s="6" t="n">
        <v>1965</v>
      </c>
    </row>
    <row r="21" customFormat="false" ht="15" hidden="false" customHeight="true" outlineLevel="0" collapsed="false">
      <c r="A21" s="7" t="s">
        <v>80</v>
      </c>
      <c r="B21" s="8" t="n">
        <v>44600</v>
      </c>
      <c r="C21" s="7" t="s">
        <v>72</v>
      </c>
      <c r="D21" s="7" t="s">
        <v>35</v>
      </c>
      <c r="E21" s="7" t="s">
        <v>77</v>
      </c>
      <c r="F21" s="7" t="s">
        <v>81</v>
      </c>
      <c r="G21" s="9" t="s">
        <v>82</v>
      </c>
      <c r="H21" s="7" t="n">
        <v>2</v>
      </c>
      <c r="I21" s="10" t="n">
        <v>862</v>
      </c>
      <c r="J21" s="10" t="n">
        <v>600</v>
      </c>
      <c r="K21" s="7" t="n">
        <v>20</v>
      </c>
      <c r="L21" s="7" t="s">
        <v>26</v>
      </c>
      <c r="M21" s="10" t="n">
        <v>1724</v>
      </c>
      <c r="N21" s="10" t="n">
        <v>524</v>
      </c>
    </row>
    <row r="22" customFormat="false" ht="15" hidden="false" customHeight="true" outlineLevel="0" collapsed="false">
      <c r="A22" s="3" t="s">
        <v>83</v>
      </c>
      <c r="B22" s="4" t="n">
        <v>44600</v>
      </c>
      <c r="C22" s="3" t="s">
        <v>43</v>
      </c>
      <c r="D22" s="3" t="s">
        <v>16</v>
      </c>
      <c r="E22" s="3" t="s">
        <v>62</v>
      </c>
      <c r="F22" s="3" t="s">
        <v>84</v>
      </c>
      <c r="G22" s="5" t="s">
        <v>85</v>
      </c>
      <c r="H22" s="3" t="n">
        <v>7</v>
      </c>
      <c r="I22" s="6" t="n">
        <v>479</v>
      </c>
      <c r="J22" s="6" t="n">
        <v>350</v>
      </c>
      <c r="K22" s="3" t="n">
        <v>36</v>
      </c>
      <c r="L22" s="3" t="s">
        <v>20</v>
      </c>
      <c r="M22" s="6" t="n">
        <v>3353</v>
      </c>
      <c r="N22" s="6" t="n">
        <v>903</v>
      </c>
    </row>
    <row r="23" customFormat="false" ht="15" hidden="false" customHeight="true" outlineLevel="0" collapsed="false">
      <c r="A23" s="7" t="s">
        <v>86</v>
      </c>
      <c r="B23" s="8" t="n">
        <v>44601</v>
      </c>
      <c r="C23" s="7" t="s">
        <v>15</v>
      </c>
      <c r="D23" s="7" t="s">
        <v>16</v>
      </c>
      <c r="E23" s="7" t="s">
        <v>30</v>
      </c>
      <c r="F23" s="7" t="s">
        <v>87</v>
      </c>
      <c r="G23" s="9" t="s">
        <v>88</v>
      </c>
      <c r="H23" s="7" t="n">
        <v>10</v>
      </c>
      <c r="I23" s="10" t="n">
        <v>1005</v>
      </c>
      <c r="J23" s="10" t="n">
        <v>700</v>
      </c>
      <c r="K23" s="7" t="n">
        <v>49</v>
      </c>
      <c r="L23" s="7" t="s">
        <v>26</v>
      </c>
      <c r="M23" s="10" t="n">
        <v>10050</v>
      </c>
      <c r="N23" s="10" t="n">
        <v>3050</v>
      </c>
    </row>
    <row r="24" customFormat="false" ht="15" hidden="false" customHeight="true" outlineLevel="0" collapsed="false">
      <c r="A24" s="3" t="s">
        <v>89</v>
      </c>
      <c r="B24" s="4" t="n">
        <v>44604</v>
      </c>
      <c r="C24" s="3" t="s">
        <v>47</v>
      </c>
      <c r="D24" s="3" t="s">
        <v>48</v>
      </c>
      <c r="E24" s="3" t="s">
        <v>23</v>
      </c>
      <c r="F24" s="3" t="s">
        <v>90</v>
      </c>
      <c r="G24" s="5" t="s">
        <v>91</v>
      </c>
      <c r="H24" s="3" t="n">
        <v>7</v>
      </c>
      <c r="I24" s="6" t="n">
        <v>739</v>
      </c>
      <c r="J24" s="6" t="n">
        <v>600</v>
      </c>
      <c r="K24" s="3" t="n">
        <v>43</v>
      </c>
      <c r="L24" s="3" t="s">
        <v>26</v>
      </c>
      <c r="M24" s="6" t="n">
        <v>5173</v>
      </c>
      <c r="N24" s="6" t="n">
        <v>973</v>
      </c>
    </row>
    <row r="25" customFormat="false" ht="15" hidden="false" customHeight="true" outlineLevel="0" collapsed="false">
      <c r="A25" s="7" t="s">
        <v>92</v>
      </c>
      <c r="B25" s="8" t="n">
        <v>44604</v>
      </c>
      <c r="C25" s="7" t="s">
        <v>28</v>
      </c>
      <c r="D25" s="7" t="s">
        <v>29</v>
      </c>
      <c r="E25" s="7" t="s">
        <v>23</v>
      </c>
      <c r="F25" s="7" t="s">
        <v>90</v>
      </c>
      <c r="G25" s="9" t="s">
        <v>91</v>
      </c>
      <c r="H25" s="7" t="n">
        <v>13</v>
      </c>
      <c r="I25" s="10" t="n">
        <v>704</v>
      </c>
      <c r="J25" s="10" t="n">
        <v>600</v>
      </c>
      <c r="K25" s="7" t="n">
        <v>29</v>
      </c>
      <c r="L25" s="7" t="s">
        <v>20</v>
      </c>
      <c r="M25" s="10" t="n">
        <v>9152</v>
      </c>
      <c r="N25" s="10" t="n">
        <v>1352</v>
      </c>
    </row>
    <row r="26" customFormat="false" ht="15" hidden="false" customHeight="true" outlineLevel="0" collapsed="false">
      <c r="A26" s="3" t="s">
        <v>93</v>
      </c>
      <c r="B26" s="4" t="n">
        <v>44606</v>
      </c>
      <c r="C26" s="3" t="s">
        <v>94</v>
      </c>
      <c r="D26" s="3" t="s">
        <v>48</v>
      </c>
      <c r="E26" s="3" t="s">
        <v>17</v>
      </c>
      <c r="F26" s="3" t="s">
        <v>44</v>
      </c>
      <c r="G26" s="5" t="s">
        <v>45</v>
      </c>
      <c r="H26" s="3" t="n">
        <v>14</v>
      </c>
      <c r="I26" s="6" t="n">
        <v>338</v>
      </c>
      <c r="J26" s="6" t="n">
        <v>250</v>
      </c>
      <c r="K26" s="3" t="n">
        <v>16</v>
      </c>
      <c r="L26" s="3" t="s">
        <v>26</v>
      </c>
      <c r="M26" s="6" t="n">
        <v>4732</v>
      </c>
      <c r="N26" s="6" t="n">
        <v>1232</v>
      </c>
    </row>
    <row r="27" customFormat="false" ht="15" hidden="false" customHeight="true" outlineLevel="0" collapsed="false">
      <c r="A27" s="7" t="s">
        <v>95</v>
      </c>
      <c r="B27" s="8" t="n">
        <v>44607</v>
      </c>
      <c r="C27" s="7" t="s">
        <v>28</v>
      </c>
      <c r="D27" s="7" t="s">
        <v>29</v>
      </c>
      <c r="E27" s="7" t="s">
        <v>62</v>
      </c>
      <c r="F27" s="7" t="s">
        <v>96</v>
      </c>
      <c r="G27" s="9" t="s">
        <v>97</v>
      </c>
      <c r="H27" s="7" t="n">
        <v>4</v>
      </c>
      <c r="I27" s="10" t="n">
        <v>104</v>
      </c>
      <c r="J27" s="10" t="n">
        <v>80</v>
      </c>
      <c r="K27" s="7" t="n">
        <v>16</v>
      </c>
      <c r="L27" s="7" t="s">
        <v>20</v>
      </c>
      <c r="M27" s="10" t="n">
        <v>416</v>
      </c>
      <c r="N27" s="10" t="n">
        <v>96</v>
      </c>
    </row>
    <row r="28" customFormat="false" ht="15" hidden="false" customHeight="true" outlineLevel="0" collapsed="false">
      <c r="A28" s="3" t="s">
        <v>98</v>
      </c>
      <c r="B28" s="4" t="n">
        <v>44608</v>
      </c>
      <c r="C28" s="3" t="s">
        <v>28</v>
      </c>
      <c r="D28" s="3" t="s">
        <v>29</v>
      </c>
      <c r="E28" s="3" t="s">
        <v>39</v>
      </c>
      <c r="F28" s="3" t="s">
        <v>99</v>
      </c>
      <c r="G28" s="5" t="s">
        <v>100</v>
      </c>
      <c r="H28" s="3" t="n">
        <v>6</v>
      </c>
      <c r="I28" s="6" t="n">
        <v>270</v>
      </c>
      <c r="J28" s="6" t="n">
        <v>220</v>
      </c>
      <c r="K28" s="3" t="n">
        <v>18</v>
      </c>
      <c r="L28" s="3" t="s">
        <v>20</v>
      </c>
      <c r="M28" s="6" t="n">
        <v>1620</v>
      </c>
      <c r="N28" s="6" t="n">
        <v>300</v>
      </c>
    </row>
    <row r="29" customFormat="false" ht="15" hidden="false" customHeight="true" outlineLevel="0" collapsed="false">
      <c r="A29" s="7" t="s">
        <v>101</v>
      </c>
      <c r="B29" s="8" t="n">
        <v>44610</v>
      </c>
      <c r="C29" s="7" t="s">
        <v>94</v>
      </c>
      <c r="D29" s="7" t="s">
        <v>48</v>
      </c>
      <c r="E29" s="7" t="s">
        <v>17</v>
      </c>
      <c r="F29" s="7" t="s">
        <v>66</v>
      </c>
      <c r="G29" s="9" t="s">
        <v>67</v>
      </c>
      <c r="H29" s="7" t="n">
        <v>3</v>
      </c>
      <c r="I29" s="10" t="n">
        <v>476</v>
      </c>
      <c r="J29" s="10" t="n">
        <v>350</v>
      </c>
      <c r="K29" s="7" t="n">
        <v>5</v>
      </c>
      <c r="L29" s="7" t="s">
        <v>26</v>
      </c>
      <c r="M29" s="10" t="n">
        <v>1428</v>
      </c>
      <c r="N29" s="10" t="n">
        <v>378</v>
      </c>
    </row>
    <row r="30" customFormat="false" ht="15" hidden="false" customHeight="true" outlineLevel="0" collapsed="false">
      <c r="A30" s="3" t="s">
        <v>102</v>
      </c>
      <c r="B30" s="4" t="n">
        <v>44610</v>
      </c>
      <c r="C30" s="3" t="s">
        <v>58</v>
      </c>
      <c r="D30" s="3" t="s">
        <v>48</v>
      </c>
      <c r="E30" s="3" t="s">
        <v>62</v>
      </c>
      <c r="F30" s="3" t="s">
        <v>103</v>
      </c>
      <c r="G30" s="5" t="s">
        <v>104</v>
      </c>
      <c r="H30" s="3" t="n">
        <v>13</v>
      </c>
      <c r="I30" s="6" t="n">
        <v>121</v>
      </c>
      <c r="J30" s="6" t="n">
        <v>90</v>
      </c>
      <c r="K30" s="3" t="n">
        <v>21</v>
      </c>
      <c r="L30" s="3" t="s">
        <v>26</v>
      </c>
      <c r="M30" s="6" t="n">
        <v>1573</v>
      </c>
      <c r="N30" s="6" t="n">
        <v>403</v>
      </c>
    </row>
    <row r="31" customFormat="false" ht="15" hidden="false" customHeight="true" outlineLevel="0" collapsed="false">
      <c r="A31" s="7" t="s">
        <v>105</v>
      </c>
      <c r="B31" s="8" t="n">
        <v>44610</v>
      </c>
      <c r="C31" s="7" t="s">
        <v>28</v>
      </c>
      <c r="D31" s="7" t="s">
        <v>29</v>
      </c>
      <c r="E31" s="7" t="s">
        <v>17</v>
      </c>
      <c r="F31" s="7" t="s">
        <v>66</v>
      </c>
      <c r="G31" s="9" t="s">
        <v>67</v>
      </c>
      <c r="H31" s="7" t="n">
        <v>11</v>
      </c>
      <c r="I31" s="10" t="n">
        <v>467</v>
      </c>
      <c r="J31" s="10" t="n">
        <v>350</v>
      </c>
      <c r="K31" s="7" t="n">
        <v>24</v>
      </c>
      <c r="L31" s="7" t="s">
        <v>20</v>
      </c>
      <c r="M31" s="10" t="n">
        <v>5137</v>
      </c>
      <c r="N31" s="10" t="n">
        <v>1287</v>
      </c>
    </row>
    <row r="32" customFormat="false" ht="15" hidden="false" customHeight="true" outlineLevel="0" collapsed="false">
      <c r="A32" s="3" t="s">
        <v>106</v>
      </c>
      <c r="B32" s="4" t="n">
        <v>44611</v>
      </c>
      <c r="C32" s="3" t="s">
        <v>52</v>
      </c>
      <c r="D32" s="3" t="s">
        <v>29</v>
      </c>
      <c r="E32" s="3" t="s">
        <v>17</v>
      </c>
      <c r="F32" s="3" t="s">
        <v>59</v>
      </c>
      <c r="G32" s="5" t="s">
        <v>60</v>
      </c>
      <c r="H32" s="3" t="n">
        <v>3</v>
      </c>
      <c r="I32" s="6" t="n">
        <v>410</v>
      </c>
      <c r="J32" s="6" t="n">
        <v>280</v>
      </c>
      <c r="K32" s="3" t="n">
        <v>6</v>
      </c>
      <c r="L32" s="3" t="s">
        <v>20</v>
      </c>
      <c r="M32" s="6" t="n">
        <v>1230</v>
      </c>
      <c r="N32" s="6" t="n">
        <v>390</v>
      </c>
    </row>
    <row r="33" customFormat="false" ht="15" hidden="false" customHeight="true" outlineLevel="0" collapsed="false">
      <c r="A33" s="7" t="s">
        <v>107</v>
      </c>
      <c r="B33" s="8" t="n">
        <v>44613</v>
      </c>
      <c r="C33" s="7" t="s">
        <v>22</v>
      </c>
      <c r="D33" s="7" t="s">
        <v>16</v>
      </c>
      <c r="E33" s="7" t="s">
        <v>17</v>
      </c>
      <c r="F33" s="7" t="s">
        <v>59</v>
      </c>
      <c r="G33" s="9" t="s">
        <v>60</v>
      </c>
      <c r="H33" s="7" t="n">
        <v>4</v>
      </c>
      <c r="I33" s="10" t="n">
        <v>390</v>
      </c>
      <c r="J33" s="10" t="n">
        <v>280</v>
      </c>
      <c r="K33" s="7" t="n">
        <v>43</v>
      </c>
      <c r="L33" s="7" t="s">
        <v>26</v>
      </c>
      <c r="M33" s="10" t="n">
        <v>1560</v>
      </c>
      <c r="N33" s="10" t="n">
        <v>440</v>
      </c>
    </row>
    <row r="34" customFormat="false" ht="15" hidden="false" customHeight="true" outlineLevel="0" collapsed="false">
      <c r="A34" s="3" t="s">
        <v>108</v>
      </c>
      <c r="B34" s="4" t="n">
        <v>44614</v>
      </c>
      <c r="C34" s="3" t="s">
        <v>52</v>
      </c>
      <c r="D34" s="3" t="s">
        <v>29</v>
      </c>
      <c r="E34" s="3" t="s">
        <v>23</v>
      </c>
      <c r="F34" s="3" t="s">
        <v>49</v>
      </c>
      <c r="G34" s="5" t="s">
        <v>50</v>
      </c>
      <c r="H34" s="3" t="n">
        <v>8</v>
      </c>
      <c r="I34" s="6" t="n">
        <v>22123</v>
      </c>
      <c r="J34" s="6" t="n">
        <v>18000</v>
      </c>
      <c r="K34" s="3" t="n">
        <v>34</v>
      </c>
      <c r="L34" s="3" t="s">
        <v>26</v>
      </c>
      <c r="M34" s="6" t="n">
        <v>176984</v>
      </c>
      <c r="N34" s="6" t="n">
        <v>32984</v>
      </c>
    </row>
    <row r="35" customFormat="false" ht="15" hidden="false" customHeight="true" outlineLevel="0" collapsed="false">
      <c r="A35" s="7" t="s">
        <v>109</v>
      </c>
      <c r="B35" s="8" t="n">
        <v>44614</v>
      </c>
      <c r="C35" s="7" t="s">
        <v>15</v>
      </c>
      <c r="D35" s="7" t="s">
        <v>16</v>
      </c>
      <c r="E35" s="7" t="s">
        <v>62</v>
      </c>
      <c r="F35" s="7" t="s">
        <v>84</v>
      </c>
      <c r="G35" s="9" t="s">
        <v>85</v>
      </c>
      <c r="H35" s="7" t="n">
        <v>11</v>
      </c>
      <c r="I35" s="10" t="n">
        <v>461</v>
      </c>
      <c r="J35" s="10" t="n">
        <v>350</v>
      </c>
      <c r="K35" s="7" t="n">
        <v>42</v>
      </c>
      <c r="L35" s="7" t="s">
        <v>20</v>
      </c>
      <c r="M35" s="10" t="n">
        <v>5071</v>
      </c>
      <c r="N35" s="10" t="n">
        <v>1221</v>
      </c>
    </row>
    <row r="36" customFormat="false" ht="15" hidden="false" customHeight="true" outlineLevel="0" collapsed="false">
      <c r="A36" s="3" t="s">
        <v>110</v>
      </c>
      <c r="B36" s="4" t="n">
        <v>44615</v>
      </c>
      <c r="C36" s="3" t="s">
        <v>111</v>
      </c>
      <c r="D36" s="3" t="s">
        <v>29</v>
      </c>
      <c r="E36" s="3" t="s">
        <v>17</v>
      </c>
      <c r="F36" s="3" t="s">
        <v>66</v>
      </c>
      <c r="G36" s="5" t="s">
        <v>67</v>
      </c>
      <c r="H36" s="3" t="n">
        <v>5</v>
      </c>
      <c r="I36" s="6" t="n">
        <v>473</v>
      </c>
      <c r="J36" s="6" t="n">
        <v>350</v>
      </c>
      <c r="K36" s="3" t="n">
        <v>42</v>
      </c>
      <c r="L36" s="3" t="s">
        <v>26</v>
      </c>
      <c r="M36" s="6" t="n">
        <v>2365</v>
      </c>
      <c r="N36" s="6" t="n">
        <v>615</v>
      </c>
    </row>
    <row r="37" customFormat="false" ht="15" hidden="false" customHeight="true" outlineLevel="0" collapsed="false">
      <c r="A37" s="7" t="s">
        <v>112</v>
      </c>
      <c r="B37" s="8" t="n">
        <v>44615</v>
      </c>
      <c r="C37" s="7" t="s">
        <v>28</v>
      </c>
      <c r="D37" s="7" t="s">
        <v>29</v>
      </c>
      <c r="E37" s="7" t="s">
        <v>17</v>
      </c>
      <c r="F37" s="7" t="s">
        <v>44</v>
      </c>
      <c r="G37" s="9" t="s">
        <v>45</v>
      </c>
      <c r="H37" s="7" t="n">
        <v>13</v>
      </c>
      <c r="I37" s="10" t="n">
        <v>361</v>
      </c>
      <c r="J37" s="10" t="n">
        <v>250</v>
      </c>
      <c r="K37" s="7" t="n">
        <v>14</v>
      </c>
      <c r="L37" s="7" t="s">
        <v>20</v>
      </c>
      <c r="M37" s="10" t="n">
        <v>4693</v>
      </c>
      <c r="N37" s="10" t="n">
        <v>1443</v>
      </c>
    </row>
    <row r="38" customFormat="false" ht="15" hidden="false" customHeight="true" outlineLevel="0" collapsed="false">
      <c r="A38" s="3" t="s">
        <v>113</v>
      </c>
      <c r="B38" s="4" t="n">
        <v>44617</v>
      </c>
      <c r="C38" s="3" t="s">
        <v>34</v>
      </c>
      <c r="D38" s="3" t="s">
        <v>35</v>
      </c>
      <c r="E38" s="3" t="s">
        <v>23</v>
      </c>
      <c r="F38" s="3" t="s">
        <v>49</v>
      </c>
      <c r="G38" s="5" t="s">
        <v>50</v>
      </c>
      <c r="H38" s="3" t="n">
        <v>6</v>
      </c>
      <c r="I38" s="6" t="n">
        <v>22309</v>
      </c>
      <c r="J38" s="6" t="n">
        <v>18000</v>
      </c>
      <c r="K38" s="3" t="n">
        <v>32</v>
      </c>
      <c r="L38" s="3" t="s">
        <v>20</v>
      </c>
      <c r="M38" s="6" t="n">
        <v>133854</v>
      </c>
      <c r="N38" s="6" t="n">
        <v>25854</v>
      </c>
    </row>
    <row r="39" customFormat="false" ht="15" hidden="false" customHeight="true" outlineLevel="0" collapsed="false">
      <c r="A39" s="7" t="s">
        <v>114</v>
      </c>
      <c r="B39" s="8" t="n">
        <v>44617</v>
      </c>
      <c r="C39" s="7" t="s">
        <v>47</v>
      </c>
      <c r="D39" s="7" t="s">
        <v>48</v>
      </c>
      <c r="E39" s="7" t="s">
        <v>39</v>
      </c>
      <c r="F39" s="7" t="s">
        <v>40</v>
      </c>
      <c r="G39" s="9" t="s">
        <v>41</v>
      </c>
      <c r="H39" s="7" t="n">
        <v>9</v>
      </c>
      <c r="I39" s="10" t="n">
        <v>106</v>
      </c>
      <c r="J39" s="10" t="n">
        <v>90</v>
      </c>
      <c r="K39" s="7" t="n">
        <v>31</v>
      </c>
      <c r="L39" s="7" t="s">
        <v>26</v>
      </c>
      <c r="M39" s="10" t="n">
        <v>954</v>
      </c>
      <c r="N39" s="10" t="n">
        <v>144</v>
      </c>
    </row>
    <row r="40" customFormat="false" ht="15" hidden="false" customHeight="true" outlineLevel="0" collapsed="false">
      <c r="A40" s="3" t="s">
        <v>115</v>
      </c>
      <c r="B40" s="4" t="n">
        <v>44618</v>
      </c>
      <c r="C40" s="3" t="s">
        <v>94</v>
      </c>
      <c r="D40" s="3" t="s">
        <v>48</v>
      </c>
      <c r="E40" s="3" t="s">
        <v>17</v>
      </c>
      <c r="F40" s="3" t="s">
        <v>59</v>
      </c>
      <c r="G40" s="5" t="s">
        <v>60</v>
      </c>
      <c r="H40" s="3" t="n">
        <v>1</v>
      </c>
      <c r="I40" s="6" t="n">
        <v>399</v>
      </c>
      <c r="J40" s="6" t="n">
        <v>280</v>
      </c>
      <c r="K40" s="3" t="n">
        <v>31</v>
      </c>
      <c r="L40" s="3" t="s">
        <v>26</v>
      </c>
      <c r="M40" s="6" t="n">
        <v>399</v>
      </c>
      <c r="N40" s="6" t="n">
        <v>119</v>
      </c>
    </row>
    <row r="41" customFormat="false" ht="15" hidden="false" customHeight="true" outlineLevel="0" collapsed="false">
      <c r="A41" s="7" t="s">
        <v>116</v>
      </c>
      <c r="B41" s="8" t="n">
        <v>44618</v>
      </c>
      <c r="C41" s="7" t="s">
        <v>47</v>
      </c>
      <c r="D41" s="7" t="s">
        <v>48</v>
      </c>
      <c r="E41" s="7" t="s">
        <v>62</v>
      </c>
      <c r="F41" s="7" t="s">
        <v>69</v>
      </c>
      <c r="G41" s="9" t="s">
        <v>70</v>
      </c>
      <c r="H41" s="7" t="n">
        <v>3</v>
      </c>
      <c r="I41" s="10" t="n">
        <v>69</v>
      </c>
      <c r="J41" s="10" t="n">
        <v>50</v>
      </c>
      <c r="K41" s="7" t="n">
        <v>38</v>
      </c>
      <c r="L41" s="7" t="s">
        <v>26</v>
      </c>
      <c r="M41" s="10" t="n">
        <v>207</v>
      </c>
      <c r="N41" s="10" t="n">
        <v>57</v>
      </c>
    </row>
    <row r="42" customFormat="false" ht="15" hidden="false" customHeight="true" outlineLevel="0" collapsed="false">
      <c r="A42" s="3" t="s">
        <v>117</v>
      </c>
      <c r="B42" s="4" t="n">
        <v>44619</v>
      </c>
      <c r="C42" s="3" t="s">
        <v>34</v>
      </c>
      <c r="D42" s="3" t="s">
        <v>35</v>
      </c>
      <c r="E42" s="3" t="s">
        <v>30</v>
      </c>
      <c r="F42" s="3" t="s">
        <v>118</v>
      </c>
      <c r="G42" s="5" t="s">
        <v>119</v>
      </c>
      <c r="H42" s="3" t="n">
        <v>15</v>
      </c>
      <c r="I42" s="6" t="n">
        <v>401</v>
      </c>
      <c r="J42" s="6" t="n">
        <v>280</v>
      </c>
      <c r="K42" s="3" t="n">
        <v>20</v>
      </c>
      <c r="L42" s="3" t="s">
        <v>26</v>
      </c>
      <c r="M42" s="6" t="n">
        <v>6015</v>
      </c>
      <c r="N42" s="6" t="n">
        <v>1815</v>
      </c>
    </row>
    <row r="43" customFormat="false" ht="15" hidden="false" customHeight="true" outlineLevel="0" collapsed="false">
      <c r="A43" s="7" t="s">
        <v>120</v>
      </c>
      <c r="B43" s="8" t="n">
        <v>44619</v>
      </c>
      <c r="C43" s="7" t="s">
        <v>34</v>
      </c>
      <c r="D43" s="7" t="s">
        <v>35</v>
      </c>
      <c r="E43" s="7" t="s">
        <v>77</v>
      </c>
      <c r="F43" s="7" t="s">
        <v>81</v>
      </c>
      <c r="G43" s="9" t="s">
        <v>82</v>
      </c>
      <c r="H43" s="7" t="n">
        <v>4</v>
      </c>
      <c r="I43" s="10" t="n">
        <v>820</v>
      </c>
      <c r="J43" s="10" t="n">
        <v>600</v>
      </c>
      <c r="K43" s="7" t="n">
        <v>19</v>
      </c>
      <c r="L43" s="7" t="s">
        <v>26</v>
      </c>
      <c r="M43" s="10" t="n">
        <v>3280</v>
      </c>
      <c r="N43" s="10" t="n">
        <v>880</v>
      </c>
    </row>
    <row r="44" customFormat="false" ht="15" hidden="false" customHeight="true" outlineLevel="0" collapsed="false">
      <c r="A44" s="3" t="s">
        <v>121</v>
      </c>
      <c r="B44" s="4" t="n">
        <v>44624</v>
      </c>
      <c r="C44" s="3" t="s">
        <v>34</v>
      </c>
      <c r="D44" s="3" t="s">
        <v>35</v>
      </c>
      <c r="E44" s="3" t="s">
        <v>39</v>
      </c>
      <c r="F44" s="3" t="s">
        <v>40</v>
      </c>
      <c r="G44" s="5" t="s">
        <v>41</v>
      </c>
      <c r="H44" s="3" t="n">
        <v>9</v>
      </c>
      <c r="I44" s="6" t="n">
        <v>111</v>
      </c>
      <c r="J44" s="6" t="n">
        <v>90</v>
      </c>
      <c r="K44" s="3" t="n">
        <v>32</v>
      </c>
      <c r="L44" s="3" t="s">
        <v>20</v>
      </c>
      <c r="M44" s="6" t="n">
        <v>999</v>
      </c>
      <c r="N44" s="6" t="n">
        <v>189</v>
      </c>
    </row>
    <row r="45" customFormat="false" ht="15" hidden="false" customHeight="true" outlineLevel="0" collapsed="false">
      <c r="A45" s="7" t="s">
        <v>122</v>
      </c>
      <c r="B45" s="8" t="n">
        <v>44626</v>
      </c>
      <c r="C45" s="7" t="s">
        <v>28</v>
      </c>
      <c r="D45" s="7" t="s">
        <v>29</v>
      </c>
      <c r="E45" s="7" t="s">
        <v>30</v>
      </c>
      <c r="F45" s="7" t="s">
        <v>118</v>
      </c>
      <c r="G45" s="9" t="s">
        <v>119</v>
      </c>
      <c r="H45" s="7" t="n">
        <v>5</v>
      </c>
      <c r="I45" s="10" t="n">
        <v>393</v>
      </c>
      <c r="J45" s="10" t="n">
        <v>280</v>
      </c>
      <c r="K45" s="7" t="n">
        <v>23</v>
      </c>
      <c r="L45" s="7" t="s">
        <v>26</v>
      </c>
      <c r="M45" s="10" t="n">
        <v>1965</v>
      </c>
      <c r="N45" s="10" t="n">
        <v>565</v>
      </c>
    </row>
    <row r="46" customFormat="false" ht="15" hidden="false" customHeight="true" outlineLevel="0" collapsed="false">
      <c r="A46" s="3" t="s">
        <v>123</v>
      </c>
      <c r="B46" s="4" t="n">
        <v>44627</v>
      </c>
      <c r="C46" s="3" t="s">
        <v>72</v>
      </c>
      <c r="D46" s="3" t="s">
        <v>35</v>
      </c>
      <c r="E46" s="3" t="s">
        <v>77</v>
      </c>
      <c r="F46" s="3" t="s">
        <v>81</v>
      </c>
      <c r="G46" s="5" t="s">
        <v>82</v>
      </c>
      <c r="H46" s="3" t="n">
        <v>1</v>
      </c>
      <c r="I46" s="6" t="n">
        <v>850</v>
      </c>
      <c r="J46" s="6" t="n">
        <v>600</v>
      </c>
      <c r="K46" s="3" t="n">
        <v>33</v>
      </c>
      <c r="L46" s="3" t="s">
        <v>26</v>
      </c>
      <c r="M46" s="6" t="n">
        <v>850</v>
      </c>
      <c r="N46" s="6" t="n">
        <v>250</v>
      </c>
    </row>
    <row r="47" customFormat="false" ht="15" hidden="false" customHeight="true" outlineLevel="0" collapsed="false">
      <c r="A47" s="7" t="s">
        <v>124</v>
      </c>
      <c r="B47" s="8" t="n">
        <v>44628</v>
      </c>
      <c r="C47" s="7" t="s">
        <v>43</v>
      </c>
      <c r="D47" s="7" t="s">
        <v>16</v>
      </c>
      <c r="E47" s="7" t="s">
        <v>77</v>
      </c>
      <c r="F47" s="7" t="s">
        <v>78</v>
      </c>
      <c r="G47" s="9" t="s">
        <v>79</v>
      </c>
      <c r="H47" s="7" t="n">
        <v>13</v>
      </c>
      <c r="I47" s="10" t="n">
        <v>1304</v>
      </c>
      <c r="J47" s="10" t="n">
        <v>900</v>
      </c>
      <c r="K47" s="7" t="n">
        <v>48</v>
      </c>
      <c r="L47" s="7" t="s">
        <v>20</v>
      </c>
      <c r="M47" s="10" t="n">
        <v>16952</v>
      </c>
      <c r="N47" s="10" t="n">
        <v>5252</v>
      </c>
    </row>
    <row r="48" customFormat="false" ht="15" hidden="false" customHeight="true" outlineLevel="0" collapsed="false">
      <c r="A48" s="3" t="s">
        <v>125</v>
      </c>
      <c r="B48" s="4" t="n">
        <v>44633</v>
      </c>
      <c r="C48" s="3" t="s">
        <v>72</v>
      </c>
      <c r="D48" s="3" t="s">
        <v>35</v>
      </c>
      <c r="E48" s="3" t="s">
        <v>30</v>
      </c>
      <c r="F48" s="3" t="s">
        <v>126</v>
      </c>
      <c r="G48" s="5" t="s">
        <v>127</v>
      </c>
      <c r="H48" s="3" t="n">
        <v>4</v>
      </c>
      <c r="I48" s="6" t="n">
        <v>552</v>
      </c>
      <c r="J48" s="6" t="n">
        <v>400</v>
      </c>
      <c r="K48" s="3" t="n">
        <v>27</v>
      </c>
      <c r="L48" s="3" t="s">
        <v>26</v>
      </c>
      <c r="M48" s="6" t="n">
        <v>2208</v>
      </c>
      <c r="N48" s="6" t="n">
        <v>608</v>
      </c>
    </row>
    <row r="49" customFormat="false" ht="15" hidden="false" customHeight="true" outlineLevel="0" collapsed="false">
      <c r="A49" s="7" t="s">
        <v>128</v>
      </c>
      <c r="B49" s="8" t="n">
        <v>44636</v>
      </c>
      <c r="C49" s="7" t="s">
        <v>15</v>
      </c>
      <c r="D49" s="7" t="s">
        <v>16</v>
      </c>
      <c r="E49" s="7" t="s">
        <v>77</v>
      </c>
      <c r="F49" s="7" t="s">
        <v>129</v>
      </c>
      <c r="G49" s="9" t="s">
        <v>130</v>
      </c>
      <c r="H49" s="7" t="n">
        <v>12</v>
      </c>
      <c r="I49" s="10" t="n">
        <v>158</v>
      </c>
      <c r="J49" s="10" t="n">
        <v>120</v>
      </c>
      <c r="K49" s="7" t="n">
        <v>8</v>
      </c>
      <c r="L49" s="7" t="s">
        <v>26</v>
      </c>
      <c r="M49" s="10" t="n">
        <v>1896</v>
      </c>
      <c r="N49" s="10" t="n">
        <v>456</v>
      </c>
    </row>
    <row r="50" customFormat="false" ht="15" hidden="false" customHeight="true" outlineLevel="0" collapsed="false">
      <c r="A50" s="3" t="s">
        <v>131</v>
      </c>
      <c r="B50" s="4" t="n">
        <v>44637</v>
      </c>
      <c r="C50" s="3" t="s">
        <v>34</v>
      </c>
      <c r="D50" s="3" t="s">
        <v>35</v>
      </c>
      <c r="E50" s="3" t="s">
        <v>62</v>
      </c>
      <c r="F50" s="3" t="s">
        <v>63</v>
      </c>
      <c r="G50" s="5" t="s">
        <v>64</v>
      </c>
      <c r="H50" s="3" t="n">
        <v>8</v>
      </c>
      <c r="I50" s="6" t="n">
        <v>83</v>
      </c>
      <c r="J50" s="6" t="n">
        <v>60</v>
      </c>
      <c r="K50" s="3" t="n">
        <v>2</v>
      </c>
      <c r="L50" s="3" t="s">
        <v>26</v>
      </c>
      <c r="M50" s="6" t="n">
        <v>664</v>
      </c>
      <c r="N50" s="6" t="n">
        <v>184</v>
      </c>
    </row>
    <row r="51" customFormat="false" ht="15" hidden="false" customHeight="true" outlineLevel="0" collapsed="false">
      <c r="A51" s="7" t="s">
        <v>132</v>
      </c>
      <c r="B51" s="8" t="n">
        <v>44637</v>
      </c>
      <c r="C51" s="7" t="s">
        <v>43</v>
      </c>
      <c r="D51" s="7" t="s">
        <v>16</v>
      </c>
      <c r="E51" s="7" t="s">
        <v>77</v>
      </c>
      <c r="F51" s="7" t="s">
        <v>129</v>
      </c>
      <c r="G51" s="9" t="s">
        <v>130</v>
      </c>
      <c r="H51" s="7" t="n">
        <v>2</v>
      </c>
      <c r="I51" s="10" t="n">
        <v>168</v>
      </c>
      <c r="J51" s="10" t="n">
        <v>120</v>
      </c>
      <c r="K51" s="7" t="n">
        <v>24</v>
      </c>
      <c r="L51" s="7" t="s">
        <v>26</v>
      </c>
      <c r="M51" s="10" t="n">
        <v>336</v>
      </c>
      <c r="N51" s="10" t="n">
        <v>96</v>
      </c>
    </row>
    <row r="52" customFormat="false" ht="15" hidden="false" customHeight="true" outlineLevel="0" collapsed="false">
      <c r="A52" s="3" t="s">
        <v>133</v>
      </c>
      <c r="B52" s="4" t="n">
        <v>44638</v>
      </c>
      <c r="C52" s="3" t="s">
        <v>15</v>
      </c>
      <c r="D52" s="3" t="s">
        <v>16</v>
      </c>
      <c r="E52" s="3" t="s">
        <v>30</v>
      </c>
      <c r="F52" s="3" t="s">
        <v>126</v>
      </c>
      <c r="G52" s="5" t="s">
        <v>127</v>
      </c>
      <c r="H52" s="3" t="n">
        <v>12</v>
      </c>
      <c r="I52" s="6" t="n">
        <v>603</v>
      </c>
      <c r="J52" s="6" t="n">
        <v>400</v>
      </c>
      <c r="K52" s="3" t="n">
        <v>36</v>
      </c>
      <c r="L52" s="3" t="s">
        <v>20</v>
      </c>
      <c r="M52" s="6" t="n">
        <v>7236</v>
      </c>
      <c r="N52" s="6" t="n">
        <v>2436</v>
      </c>
    </row>
    <row r="53" customFormat="false" ht="15" hidden="false" customHeight="true" outlineLevel="0" collapsed="false">
      <c r="A53" s="7" t="s">
        <v>134</v>
      </c>
      <c r="B53" s="8" t="n">
        <v>44638</v>
      </c>
      <c r="C53" s="7" t="s">
        <v>34</v>
      </c>
      <c r="D53" s="7" t="s">
        <v>35</v>
      </c>
      <c r="E53" s="7" t="s">
        <v>17</v>
      </c>
      <c r="F53" s="7" t="s">
        <v>66</v>
      </c>
      <c r="G53" s="9" t="s">
        <v>67</v>
      </c>
      <c r="H53" s="7" t="n">
        <v>11</v>
      </c>
      <c r="I53" s="10" t="n">
        <v>499</v>
      </c>
      <c r="J53" s="10" t="n">
        <v>350</v>
      </c>
      <c r="K53" s="7" t="n">
        <v>43</v>
      </c>
      <c r="L53" s="7" t="s">
        <v>26</v>
      </c>
      <c r="M53" s="10" t="n">
        <v>5489</v>
      </c>
      <c r="N53" s="10" t="n">
        <v>1639</v>
      </c>
    </row>
    <row r="54" customFormat="false" ht="15" hidden="false" customHeight="true" outlineLevel="0" collapsed="false">
      <c r="A54" s="3" t="s">
        <v>135</v>
      </c>
      <c r="B54" s="4" t="n">
        <v>44640</v>
      </c>
      <c r="C54" s="3" t="s">
        <v>136</v>
      </c>
      <c r="D54" s="3" t="s">
        <v>35</v>
      </c>
      <c r="E54" s="3" t="s">
        <v>17</v>
      </c>
      <c r="F54" s="3" t="s">
        <v>59</v>
      </c>
      <c r="G54" s="5" t="s">
        <v>60</v>
      </c>
      <c r="H54" s="3" t="n">
        <v>3</v>
      </c>
      <c r="I54" s="6" t="n">
        <v>374</v>
      </c>
      <c r="J54" s="6" t="n">
        <v>280</v>
      </c>
      <c r="K54" s="3" t="n">
        <v>29</v>
      </c>
      <c r="L54" s="3" t="s">
        <v>20</v>
      </c>
      <c r="M54" s="6" t="n">
        <v>1122</v>
      </c>
      <c r="N54" s="6" t="n">
        <v>282</v>
      </c>
    </row>
    <row r="55" customFormat="false" ht="15" hidden="false" customHeight="true" outlineLevel="0" collapsed="false">
      <c r="A55" s="7" t="s">
        <v>137</v>
      </c>
      <c r="B55" s="8" t="n">
        <v>44641</v>
      </c>
      <c r="C55" s="7" t="s">
        <v>58</v>
      </c>
      <c r="D55" s="7" t="s">
        <v>48</v>
      </c>
      <c r="E55" s="7" t="s">
        <v>30</v>
      </c>
      <c r="F55" s="7" t="s">
        <v>118</v>
      </c>
      <c r="G55" s="9" t="s">
        <v>119</v>
      </c>
      <c r="H55" s="7" t="n">
        <v>12</v>
      </c>
      <c r="I55" s="10" t="n">
        <v>412</v>
      </c>
      <c r="J55" s="10" t="n">
        <v>280</v>
      </c>
      <c r="K55" s="7" t="n">
        <v>6</v>
      </c>
      <c r="L55" s="7" t="s">
        <v>26</v>
      </c>
      <c r="M55" s="10" t="n">
        <v>4944</v>
      </c>
      <c r="N55" s="10" t="n">
        <v>1584</v>
      </c>
    </row>
    <row r="56" customFormat="false" ht="15" hidden="false" customHeight="true" outlineLevel="0" collapsed="false">
      <c r="A56" s="3" t="s">
        <v>138</v>
      </c>
      <c r="B56" s="4" t="n">
        <v>44642</v>
      </c>
      <c r="C56" s="3" t="s">
        <v>111</v>
      </c>
      <c r="D56" s="3" t="s">
        <v>29</v>
      </c>
      <c r="E56" s="3" t="s">
        <v>62</v>
      </c>
      <c r="F56" s="3" t="s">
        <v>103</v>
      </c>
      <c r="G56" s="5" t="s">
        <v>104</v>
      </c>
      <c r="H56" s="3" t="n">
        <v>4</v>
      </c>
      <c r="I56" s="6" t="n">
        <v>117</v>
      </c>
      <c r="J56" s="6" t="n">
        <v>90</v>
      </c>
      <c r="K56" s="3" t="n">
        <v>19</v>
      </c>
      <c r="L56" s="3" t="s">
        <v>26</v>
      </c>
      <c r="M56" s="6" t="n">
        <v>468</v>
      </c>
      <c r="N56" s="6" t="n">
        <v>108</v>
      </c>
    </row>
    <row r="57" customFormat="false" ht="15" hidden="false" customHeight="true" outlineLevel="0" collapsed="false">
      <c r="A57" s="7" t="s">
        <v>139</v>
      </c>
      <c r="B57" s="8" t="n">
        <v>44642</v>
      </c>
      <c r="C57" s="7" t="s">
        <v>43</v>
      </c>
      <c r="D57" s="7" t="s">
        <v>16</v>
      </c>
      <c r="E57" s="7" t="s">
        <v>30</v>
      </c>
      <c r="F57" s="7" t="s">
        <v>126</v>
      </c>
      <c r="G57" s="9" t="s">
        <v>127</v>
      </c>
      <c r="H57" s="7" t="n">
        <v>5</v>
      </c>
      <c r="I57" s="10" t="n">
        <v>587</v>
      </c>
      <c r="J57" s="10" t="n">
        <v>400</v>
      </c>
      <c r="K57" s="7" t="n">
        <v>23</v>
      </c>
      <c r="L57" s="7" t="s">
        <v>26</v>
      </c>
      <c r="M57" s="10" t="n">
        <v>2935</v>
      </c>
      <c r="N57" s="10" t="n">
        <v>935</v>
      </c>
    </row>
    <row r="58" customFormat="false" ht="15" hidden="false" customHeight="true" outlineLevel="0" collapsed="false">
      <c r="A58" s="3" t="s">
        <v>140</v>
      </c>
      <c r="B58" s="4" t="n">
        <v>44644</v>
      </c>
      <c r="C58" s="3" t="s">
        <v>111</v>
      </c>
      <c r="D58" s="3" t="s">
        <v>29</v>
      </c>
      <c r="E58" s="3" t="s">
        <v>17</v>
      </c>
      <c r="F58" s="3" t="s">
        <v>59</v>
      </c>
      <c r="G58" s="5" t="s">
        <v>60</v>
      </c>
      <c r="H58" s="3" t="n">
        <v>12</v>
      </c>
      <c r="I58" s="6" t="n">
        <v>382</v>
      </c>
      <c r="J58" s="6" t="n">
        <v>280</v>
      </c>
      <c r="K58" s="3" t="n">
        <v>25</v>
      </c>
      <c r="L58" s="3" t="s">
        <v>20</v>
      </c>
      <c r="M58" s="6" t="n">
        <v>4584</v>
      </c>
      <c r="N58" s="6" t="n">
        <v>1224</v>
      </c>
    </row>
    <row r="59" customFormat="false" ht="15" hidden="false" customHeight="true" outlineLevel="0" collapsed="false">
      <c r="A59" s="7" t="s">
        <v>141</v>
      </c>
      <c r="B59" s="8" t="n">
        <v>44649</v>
      </c>
      <c r="C59" s="7" t="s">
        <v>47</v>
      </c>
      <c r="D59" s="7" t="s">
        <v>48</v>
      </c>
      <c r="E59" s="7" t="s">
        <v>62</v>
      </c>
      <c r="F59" s="7" t="s">
        <v>103</v>
      </c>
      <c r="G59" s="9" t="s">
        <v>104</v>
      </c>
      <c r="H59" s="7" t="n">
        <v>1</v>
      </c>
      <c r="I59" s="10" t="n">
        <v>117</v>
      </c>
      <c r="J59" s="10" t="n">
        <v>90</v>
      </c>
      <c r="K59" s="7" t="n">
        <v>12</v>
      </c>
      <c r="L59" s="7" t="s">
        <v>26</v>
      </c>
      <c r="M59" s="10" t="n">
        <v>117</v>
      </c>
      <c r="N59" s="10" t="n">
        <v>27</v>
      </c>
    </row>
    <row r="60" customFormat="false" ht="15" hidden="false" customHeight="true" outlineLevel="0" collapsed="false">
      <c r="A60" s="3" t="s">
        <v>142</v>
      </c>
      <c r="B60" s="4" t="n">
        <v>44652</v>
      </c>
      <c r="C60" s="3" t="s">
        <v>43</v>
      </c>
      <c r="D60" s="3" t="s">
        <v>16</v>
      </c>
      <c r="E60" s="3" t="s">
        <v>39</v>
      </c>
      <c r="F60" s="3" t="s">
        <v>143</v>
      </c>
      <c r="G60" s="5" t="s">
        <v>144</v>
      </c>
      <c r="H60" s="3" t="n">
        <v>6</v>
      </c>
      <c r="I60" s="6" t="n">
        <v>322</v>
      </c>
      <c r="J60" s="6" t="n">
        <v>280</v>
      </c>
      <c r="K60" s="3" t="n">
        <v>46</v>
      </c>
      <c r="L60" s="3" t="s">
        <v>20</v>
      </c>
      <c r="M60" s="6" t="n">
        <v>1932</v>
      </c>
      <c r="N60" s="6" t="n">
        <v>252</v>
      </c>
    </row>
    <row r="61" customFormat="false" ht="15" hidden="false" customHeight="true" outlineLevel="0" collapsed="false">
      <c r="A61" s="7" t="s">
        <v>145</v>
      </c>
      <c r="B61" s="8" t="n">
        <v>44659</v>
      </c>
      <c r="C61" s="7" t="s">
        <v>94</v>
      </c>
      <c r="D61" s="7" t="s">
        <v>48</v>
      </c>
      <c r="E61" s="7" t="s">
        <v>77</v>
      </c>
      <c r="F61" s="7" t="s">
        <v>78</v>
      </c>
      <c r="G61" s="9" t="s">
        <v>79</v>
      </c>
      <c r="H61" s="7" t="n">
        <v>9</v>
      </c>
      <c r="I61" s="10" t="n">
        <v>1283</v>
      </c>
      <c r="J61" s="10" t="n">
        <v>900</v>
      </c>
      <c r="K61" s="7" t="n">
        <v>11</v>
      </c>
      <c r="L61" s="7" t="s">
        <v>26</v>
      </c>
      <c r="M61" s="10" t="n">
        <v>11547</v>
      </c>
      <c r="N61" s="10" t="n">
        <v>3447</v>
      </c>
    </row>
    <row r="62" customFormat="false" ht="15" hidden="false" customHeight="true" outlineLevel="0" collapsed="false">
      <c r="A62" s="3" t="s">
        <v>146</v>
      </c>
      <c r="B62" s="4" t="n">
        <v>44659</v>
      </c>
      <c r="C62" s="3" t="s">
        <v>43</v>
      </c>
      <c r="D62" s="3" t="s">
        <v>16</v>
      </c>
      <c r="E62" s="3" t="s">
        <v>23</v>
      </c>
      <c r="F62" s="3" t="s">
        <v>24</v>
      </c>
      <c r="G62" s="5" t="s">
        <v>25</v>
      </c>
      <c r="H62" s="3" t="n">
        <v>11</v>
      </c>
      <c r="I62" s="6" t="n">
        <v>442</v>
      </c>
      <c r="J62" s="6" t="n">
        <v>350</v>
      </c>
      <c r="K62" s="3" t="n">
        <v>42</v>
      </c>
      <c r="L62" s="3" t="s">
        <v>20</v>
      </c>
      <c r="M62" s="6" t="n">
        <v>4862</v>
      </c>
      <c r="N62" s="6" t="n">
        <v>1012</v>
      </c>
    </row>
    <row r="63" customFormat="false" ht="15" hidden="false" customHeight="true" outlineLevel="0" collapsed="false">
      <c r="A63" s="7" t="s">
        <v>147</v>
      </c>
      <c r="B63" s="8" t="n">
        <v>44660</v>
      </c>
      <c r="C63" s="7" t="s">
        <v>72</v>
      </c>
      <c r="D63" s="7" t="s">
        <v>35</v>
      </c>
      <c r="E63" s="7" t="s">
        <v>62</v>
      </c>
      <c r="F63" s="7" t="s">
        <v>63</v>
      </c>
      <c r="G63" s="9" t="s">
        <v>64</v>
      </c>
      <c r="H63" s="7" t="n">
        <v>14</v>
      </c>
      <c r="I63" s="10" t="n">
        <v>77</v>
      </c>
      <c r="J63" s="10" t="n">
        <v>60</v>
      </c>
      <c r="K63" s="7" t="n">
        <v>4</v>
      </c>
      <c r="L63" s="7" t="s">
        <v>20</v>
      </c>
      <c r="M63" s="10" t="n">
        <v>1078</v>
      </c>
      <c r="N63" s="10" t="n">
        <v>238</v>
      </c>
    </row>
    <row r="64" customFormat="false" ht="15" hidden="false" customHeight="true" outlineLevel="0" collapsed="false">
      <c r="A64" s="3" t="s">
        <v>148</v>
      </c>
      <c r="B64" s="4" t="n">
        <v>44661</v>
      </c>
      <c r="C64" s="3" t="s">
        <v>58</v>
      </c>
      <c r="D64" s="3" t="s">
        <v>48</v>
      </c>
      <c r="E64" s="3" t="s">
        <v>17</v>
      </c>
      <c r="F64" s="3" t="s">
        <v>66</v>
      </c>
      <c r="G64" s="5" t="s">
        <v>67</v>
      </c>
      <c r="H64" s="3" t="n">
        <v>4</v>
      </c>
      <c r="I64" s="6" t="n">
        <v>479</v>
      </c>
      <c r="J64" s="6" t="n">
        <v>350</v>
      </c>
      <c r="K64" s="3" t="n">
        <v>3</v>
      </c>
      <c r="L64" s="3" t="s">
        <v>26</v>
      </c>
      <c r="M64" s="6" t="n">
        <v>1916</v>
      </c>
      <c r="N64" s="6" t="n">
        <v>516</v>
      </c>
    </row>
    <row r="65" customFormat="false" ht="15" hidden="false" customHeight="true" outlineLevel="0" collapsed="false">
      <c r="A65" s="7" t="s">
        <v>149</v>
      </c>
      <c r="B65" s="8" t="n">
        <v>44665</v>
      </c>
      <c r="C65" s="7" t="s">
        <v>43</v>
      </c>
      <c r="D65" s="7" t="s">
        <v>16</v>
      </c>
      <c r="E65" s="7" t="s">
        <v>23</v>
      </c>
      <c r="F65" s="7" t="s">
        <v>90</v>
      </c>
      <c r="G65" s="9" t="s">
        <v>91</v>
      </c>
      <c r="H65" s="7" t="n">
        <v>2</v>
      </c>
      <c r="I65" s="10" t="n">
        <v>758</v>
      </c>
      <c r="J65" s="10" t="n">
        <v>600</v>
      </c>
      <c r="K65" s="7" t="n">
        <v>48</v>
      </c>
      <c r="L65" s="7" t="s">
        <v>26</v>
      </c>
      <c r="M65" s="10" t="n">
        <v>1516</v>
      </c>
      <c r="N65" s="10" t="n">
        <v>316</v>
      </c>
    </row>
    <row r="66" customFormat="false" ht="15" hidden="false" customHeight="true" outlineLevel="0" collapsed="false">
      <c r="A66" s="3" t="s">
        <v>150</v>
      </c>
      <c r="B66" s="4" t="n">
        <v>44665</v>
      </c>
      <c r="C66" s="3" t="s">
        <v>58</v>
      </c>
      <c r="D66" s="3" t="s">
        <v>48</v>
      </c>
      <c r="E66" s="3" t="s">
        <v>23</v>
      </c>
      <c r="F66" s="3" t="s">
        <v>24</v>
      </c>
      <c r="G66" s="5" t="s">
        <v>25</v>
      </c>
      <c r="H66" s="3" t="n">
        <v>3</v>
      </c>
      <c r="I66" s="6" t="n">
        <v>446</v>
      </c>
      <c r="J66" s="6" t="n">
        <v>350</v>
      </c>
      <c r="K66" s="3" t="n">
        <v>5</v>
      </c>
      <c r="L66" s="3" t="s">
        <v>26</v>
      </c>
      <c r="M66" s="6" t="n">
        <v>1338</v>
      </c>
      <c r="N66" s="6" t="n">
        <v>288</v>
      </c>
    </row>
    <row r="67" customFormat="false" ht="15" hidden="false" customHeight="true" outlineLevel="0" collapsed="false">
      <c r="A67" s="7" t="s">
        <v>151</v>
      </c>
      <c r="B67" s="8" t="n">
        <v>44665</v>
      </c>
      <c r="C67" s="7" t="s">
        <v>52</v>
      </c>
      <c r="D67" s="7" t="s">
        <v>29</v>
      </c>
      <c r="E67" s="7" t="s">
        <v>77</v>
      </c>
      <c r="F67" s="7" t="s">
        <v>152</v>
      </c>
      <c r="G67" s="9" t="s">
        <v>153</v>
      </c>
      <c r="H67" s="7" t="n">
        <v>11</v>
      </c>
      <c r="I67" s="10" t="n">
        <v>469</v>
      </c>
      <c r="J67" s="10" t="n">
        <v>350</v>
      </c>
      <c r="K67" s="7" t="n">
        <v>25</v>
      </c>
      <c r="L67" s="7" t="s">
        <v>20</v>
      </c>
      <c r="M67" s="10" t="n">
        <v>5159</v>
      </c>
      <c r="N67" s="10" t="n">
        <v>1309</v>
      </c>
    </row>
    <row r="68" customFormat="false" ht="15" hidden="false" customHeight="true" outlineLevel="0" collapsed="false">
      <c r="A68" s="3" t="s">
        <v>154</v>
      </c>
      <c r="B68" s="4" t="n">
        <v>44668</v>
      </c>
      <c r="C68" s="3" t="s">
        <v>72</v>
      </c>
      <c r="D68" s="3" t="s">
        <v>35</v>
      </c>
      <c r="E68" s="3" t="s">
        <v>62</v>
      </c>
      <c r="F68" s="3" t="s">
        <v>103</v>
      </c>
      <c r="G68" s="5" t="s">
        <v>104</v>
      </c>
      <c r="H68" s="3" t="n">
        <v>14</v>
      </c>
      <c r="I68" s="6" t="n">
        <v>116</v>
      </c>
      <c r="J68" s="6" t="n">
        <v>90</v>
      </c>
      <c r="K68" s="3" t="n">
        <v>25</v>
      </c>
      <c r="L68" s="3" t="s">
        <v>26</v>
      </c>
      <c r="M68" s="6" t="n">
        <v>1624</v>
      </c>
      <c r="N68" s="6" t="n">
        <v>364</v>
      </c>
    </row>
    <row r="69" customFormat="false" ht="15" hidden="false" customHeight="true" outlineLevel="0" collapsed="false">
      <c r="A69" s="7" t="s">
        <v>155</v>
      </c>
      <c r="B69" s="8" t="n">
        <v>44668</v>
      </c>
      <c r="C69" s="7" t="s">
        <v>15</v>
      </c>
      <c r="D69" s="7" t="s">
        <v>16</v>
      </c>
      <c r="E69" s="7" t="s">
        <v>30</v>
      </c>
      <c r="F69" s="7" t="s">
        <v>31</v>
      </c>
      <c r="G69" s="9" t="s">
        <v>32</v>
      </c>
      <c r="H69" s="7" t="n">
        <v>13</v>
      </c>
      <c r="I69" s="10" t="n">
        <v>1708</v>
      </c>
      <c r="J69" s="10" t="n">
        <v>1200</v>
      </c>
      <c r="K69" s="7" t="n">
        <v>20</v>
      </c>
      <c r="L69" s="7" t="s">
        <v>26</v>
      </c>
      <c r="M69" s="10" t="n">
        <v>22204</v>
      </c>
      <c r="N69" s="10" t="n">
        <v>6604</v>
      </c>
    </row>
    <row r="70" customFormat="false" ht="15" hidden="false" customHeight="true" outlineLevel="0" collapsed="false">
      <c r="A70" s="3" t="s">
        <v>156</v>
      </c>
      <c r="B70" s="4" t="n">
        <v>44668</v>
      </c>
      <c r="C70" s="3" t="s">
        <v>15</v>
      </c>
      <c r="D70" s="3" t="s">
        <v>16</v>
      </c>
      <c r="E70" s="3" t="s">
        <v>77</v>
      </c>
      <c r="F70" s="3" t="s">
        <v>81</v>
      </c>
      <c r="G70" s="5" t="s">
        <v>82</v>
      </c>
      <c r="H70" s="3" t="n">
        <v>11</v>
      </c>
      <c r="I70" s="6" t="n">
        <v>804</v>
      </c>
      <c r="J70" s="6" t="n">
        <v>600</v>
      </c>
      <c r="K70" s="3" t="n">
        <v>49</v>
      </c>
      <c r="L70" s="3" t="s">
        <v>26</v>
      </c>
      <c r="M70" s="6" t="n">
        <v>8844</v>
      </c>
      <c r="N70" s="6" t="n">
        <v>2244</v>
      </c>
    </row>
    <row r="71" customFormat="false" ht="15" hidden="false" customHeight="true" outlineLevel="0" collapsed="false">
      <c r="A71" s="7" t="s">
        <v>157</v>
      </c>
      <c r="B71" s="8" t="n">
        <v>44671</v>
      </c>
      <c r="C71" s="7" t="s">
        <v>34</v>
      </c>
      <c r="D71" s="7" t="s">
        <v>35</v>
      </c>
      <c r="E71" s="7" t="s">
        <v>77</v>
      </c>
      <c r="F71" s="7" t="s">
        <v>78</v>
      </c>
      <c r="G71" s="9" t="s">
        <v>79</v>
      </c>
      <c r="H71" s="7" t="n">
        <v>4</v>
      </c>
      <c r="I71" s="10" t="n">
        <v>1241</v>
      </c>
      <c r="J71" s="10" t="n">
        <v>900</v>
      </c>
      <c r="K71" s="7" t="n">
        <v>47</v>
      </c>
      <c r="L71" s="7" t="s">
        <v>26</v>
      </c>
      <c r="M71" s="10" t="n">
        <v>4964</v>
      </c>
      <c r="N71" s="10" t="n">
        <v>1364</v>
      </c>
    </row>
    <row r="72" customFormat="false" ht="15" hidden="false" customHeight="true" outlineLevel="0" collapsed="false">
      <c r="A72" s="3" t="s">
        <v>158</v>
      </c>
      <c r="B72" s="4" t="n">
        <v>44671</v>
      </c>
      <c r="C72" s="3" t="s">
        <v>72</v>
      </c>
      <c r="D72" s="3" t="s">
        <v>35</v>
      </c>
      <c r="E72" s="3" t="s">
        <v>30</v>
      </c>
      <c r="F72" s="3" t="s">
        <v>118</v>
      </c>
      <c r="G72" s="5" t="s">
        <v>119</v>
      </c>
      <c r="H72" s="3" t="n">
        <v>11</v>
      </c>
      <c r="I72" s="6" t="n">
        <v>415</v>
      </c>
      <c r="J72" s="6" t="n">
        <v>280</v>
      </c>
      <c r="K72" s="3" t="n">
        <v>30</v>
      </c>
      <c r="L72" s="3" t="s">
        <v>26</v>
      </c>
      <c r="M72" s="6" t="n">
        <v>4565</v>
      </c>
      <c r="N72" s="6" t="n">
        <v>1485</v>
      </c>
    </row>
    <row r="73" customFormat="false" ht="15" hidden="false" customHeight="true" outlineLevel="0" collapsed="false">
      <c r="A73" s="7" t="s">
        <v>159</v>
      </c>
      <c r="B73" s="8" t="n">
        <v>44676</v>
      </c>
      <c r="C73" s="7" t="s">
        <v>94</v>
      </c>
      <c r="D73" s="7" t="s">
        <v>48</v>
      </c>
      <c r="E73" s="7" t="s">
        <v>23</v>
      </c>
      <c r="F73" s="7" t="s">
        <v>90</v>
      </c>
      <c r="G73" s="9" t="s">
        <v>91</v>
      </c>
      <c r="H73" s="7" t="n">
        <v>12</v>
      </c>
      <c r="I73" s="10" t="n">
        <v>728</v>
      </c>
      <c r="J73" s="10" t="n">
        <v>600</v>
      </c>
      <c r="K73" s="7" t="n">
        <v>10</v>
      </c>
      <c r="L73" s="7" t="s">
        <v>26</v>
      </c>
      <c r="M73" s="10" t="n">
        <v>8736</v>
      </c>
      <c r="N73" s="10" t="n">
        <v>1536</v>
      </c>
    </row>
    <row r="74" customFormat="false" ht="15" hidden="false" customHeight="true" outlineLevel="0" collapsed="false">
      <c r="A74" s="3" t="s">
        <v>160</v>
      </c>
      <c r="B74" s="4" t="n">
        <v>44678</v>
      </c>
      <c r="C74" s="3" t="s">
        <v>111</v>
      </c>
      <c r="D74" s="3" t="s">
        <v>29</v>
      </c>
      <c r="E74" s="3" t="s">
        <v>39</v>
      </c>
      <c r="F74" s="3" t="s">
        <v>161</v>
      </c>
      <c r="G74" s="5" t="s">
        <v>162</v>
      </c>
      <c r="H74" s="3" t="n">
        <v>13</v>
      </c>
      <c r="I74" s="6" t="n">
        <v>402</v>
      </c>
      <c r="J74" s="6" t="n">
        <v>350</v>
      </c>
      <c r="K74" s="3" t="n">
        <v>10</v>
      </c>
      <c r="L74" s="3" t="s">
        <v>20</v>
      </c>
      <c r="M74" s="6" t="n">
        <v>5226</v>
      </c>
      <c r="N74" s="6" t="n">
        <v>676</v>
      </c>
    </row>
    <row r="75" customFormat="false" ht="15" hidden="false" customHeight="true" outlineLevel="0" collapsed="false">
      <c r="A75" s="7" t="s">
        <v>163</v>
      </c>
      <c r="B75" s="8" t="n">
        <v>44678</v>
      </c>
      <c r="C75" s="7" t="s">
        <v>47</v>
      </c>
      <c r="D75" s="7" t="s">
        <v>48</v>
      </c>
      <c r="E75" s="7" t="s">
        <v>62</v>
      </c>
      <c r="F75" s="7" t="s">
        <v>103</v>
      </c>
      <c r="G75" s="9" t="s">
        <v>104</v>
      </c>
      <c r="H75" s="7" t="n">
        <v>1</v>
      </c>
      <c r="I75" s="10" t="n">
        <v>118</v>
      </c>
      <c r="J75" s="10" t="n">
        <v>90</v>
      </c>
      <c r="K75" s="7" t="n">
        <v>30</v>
      </c>
      <c r="L75" s="7" t="s">
        <v>26</v>
      </c>
      <c r="M75" s="10" t="n">
        <v>118</v>
      </c>
      <c r="N75" s="10" t="n">
        <v>28</v>
      </c>
    </row>
    <row r="76" customFormat="false" ht="15" hidden="false" customHeight="true" outlineLevel="0" collapsed="false">
      <c r="A76" s="3" t="s">
        <v>164</v>
      </c>
      <c r="B76" s="4" t="n">
        <v>44680</v>
      </c>
      <c r="C76" s="3" t="s">
        <v>136</v>
      </c>
      <c r="D76" s="3" t="s">
        <v>35</v>
      </c>
      <c r="E76" s="3" t="s">
        <v>77</v>
      </c>
      <c r="F76" s="3" t="s">
        <v>129</v>
      </c>
      <c r="G76" s="5" t="s">
        <v>130</v>
      </c>
      <c r="H76" s="3" t="n">
        <v>14</v>
      </c>
      <c r="I76" s="6" t="n">
        <v>164</v>
      </c>
      <c r="J76" s="6" t="n">
        <v>120</v>
      </c>
      <c r="K76" s="3" t="n">
        <v>27</v>
      </c>
      <c r="L76" s="3" t="s">
        <v>26</v>
      </c>
      <c r="M76" s="6" t="n">
        <v>2296</v>
      </c>
      <c r="N76" s="6" t="n">
        <v>616</v>
      </c>
    </row>
    <row r="77" customFormat="false" ht="15" hidden="false" customHeight="true" outlineLevel="0" collapsed="false">
      <c r="A77" s="7" t="s">
        <v>165</v>
      </c>
      <c r="B77" s="8" t="n">
        <v>44683</v>
      </c>
      <c r="C77" s="7" t="s">
        <v>22</v>
      </c>
      <c r="D77" s="7" t="s">
        <v>16</v>
      </c>
      <c r="E77" s="7" t="s">
        <v>17</v>
      </c>
      <c r="F77" s="7" t="s">
        <v>59</v>
      </c>
      <c r="G77" s="9" t="s">
        <v>60</v>
      </c>
      <c r="H77" s="7" t="n">
        <v>9</v>
      </c>
      <c r="I77" s="10" t="n">
        <v>390</v>
      </c>
      <c r="J77" s="10" t="n">
        <v>280</v>
      </c>
      <c r="K77" s="7" t="n">
        <v>45</v>
      </c>
      <c r="L77" s="7" t="s">
        <v>26</v>
      </c>
      <c r="M77" s="10" t="n">
        <v>3510</v>
      </c>
      <c r="N77" s="10" t="n">
        <v>990</v>
      </c>
    </row>
    <row r="78" customFormat="false" ht="15" hidden="false" customHeight="true" outlineLevel="0" collapsed="false">
      <c r="A78" s="3" t="s">
        <v>166</v>
      </c>
      <c r="B78" s="4" t="n">
        <v>44683</v>
      </c>
      <c r="C78" s="3" t="s">
        <v>111</v>
      </c>
      <c r="D78" s="3" t="s">
        <v>29</v>
      </c>
      <c r="E78" s="3" t="s">
        <v>17</v>
      </c>
      <c r="F78" s="3" t="s">
        <v>54</v>
      </c>
      <c r="G78" s="5" t="s">
        <v>55</v>
      </c>
      <c r="H78" s="3" t="n">
        <v>7</v>
      </c>
      <c r="I78" s="6" t="n">
        <v>638</v>
      </c>
      <c r="J78" s="6" t="n">
        <v>450</v>
      </c>
      <c r="K78" s="3" t="n">
        <v>7</v>
      </c>
      <c r="L78" s="3" t="s">
        <v>20</v>
      </c>
      <c r="M78" s="6" t="n">
        <v>4466</v>
      </c>
      <c r="N78" s="6" t="n">
        <v>1316</v>
      </c>
    </row>
    <row r="79" customFormat="false" ht="15" hidden="false" customHeight="true" outlineLevel="0" collapsed="false">
      <c r="A79" s="7" t="s">
        <v>167</v>
      </c>
      <c r="B79" s="8" t="n">
        <v>44685</v>
      </c>
      <c r="C79" s="7" t="s">
        <v>94</v>
      </c>
      <c r="D79" s="7" t="s">
        <v>48</v>
      </c>
      <c r="E79" s="7" t="s">
        <v>30</v>
      </c>
      <c r="F79" s="7" t="s">
        <v>31</v>
      </c>
      <c r="G79" s="9" t="s">
        <v>32</v>
      </c>
      <c r="H79" s="7" t="n">
        <v>1</v>
      </c>
      <c r="I79" s="10" t="n">
        <v>1771</v>
      </c>
      <c r="J79" s="10" t="n">
        <v>1200</v>
      </c>
      <c r="K79" s="7" t="n">
        <v>50</v>
      </c>
      <c r="L79" s="7" t="s">
        <v>26</v>
      </c>
      <c r="M79" s="10" t="n">
        <v>1771</v>
      </c>
      <c r="N79" s="10" t="n">
        <v>571</v>
      </c>
    </row>
    <row r="80" customFormat="false" ht="15" hidden="false" customHeight="true" outlineLevel="0" collapsed="false">
      <c r="A80" s="3" t="s">
        <v>168</v>
      </c>
      <c r="B80" s="4" t="n">
        <v>44686</v>
      </c>
      <c r="C80" s="3" t="s">
        <v>28</v>
      </c>
      <c r="D80" s="3" t="s">
        <v>29</v>
      </c>
      <c r="E80" s="3" t="s">
        <v>39</v>
      </c>
      <c r="F80" s="3" t="s">
        <v>161</v>
      </c>
      <c r="G80" s="5" t="s">
        <v>162</v>
      </c>
      <c r="H80" s="3" t="n">
        <v>12</v>
      </c>
      <c r="I80" s="6" t="n">
        <v>428</v>
      </c>
      <c r="J80" s="6" t="n">
        <v>350</v>
      </c>
      <c r="K80" s="3" t="n">
        <v>29</v>
      </c>
      <c r="L80" s="3" t="s">
        <v>26</v>
      </c>
      <c r="M80" s="6" t="n">
        <v>5136</v>
      </c>
      <c r="N80" s="6" t="n">
        <v>936</v>
      </c>
    </row>
    <row r="81" customFormat="false" ht="15" hidden="false" customHeight="true" outlineLevel="0" collapsed="false">
      <c r="A81" s="7" t="s">
        <v>169</v>
      </c>
      <c r="B81" s="8" t="n">
        <v>44688</v>
      </c>
      <c r="C81" s="7" t="s">
        <v>136</v>
      </c>
      <c r="D81" s="7" t="s">
        <v>35</v>
      </c>
      <c r="E81" s="7" t="s">
        <v>77</v>
      </c>
      <c r="F81" s="7" t="s">
        <v>152</v>
      </c>
      <c r="G81" s="9" t="s">
        <v>153</v>
      </c>
      <c r="H81" s="7" t="n">
        <v>14</v>
      </c>
      <c r="I81" s="10" t="n">
        <v>472</v>
      </c>
      <c r="J81" s="10" t="n">
        <v>350</v>
      </c>
      <c r="K81" s="7" t="n">
        <v>38</v>
      </c>
      <c r="L81" s="7" t="s">
        <v>20</v>
      </c>
      <c r="M81" s="10" t="n">
        <v>6608</v>
      </c>
      <c r="N81" s="10" t="n">
        <v>1708</v>
      </c>
    </row>
    <row r="82" customFormat="false" ht="15" hidden="false" customHeight="true" outlineLevel="0" collapsed="false">
      <c r="A82" s="3" t="s">
        <v>170</v>
      </c>
      <c r="B82" s="4" t="n">
        <v>44689</v>
      </c>
      <c r="C82" s="3" t="s">
        <v>28</v>
      </c>
      <c r="D82" s="3" t="s">
        <v>29</v>
      </c>
      <c r="E82" s="3" t="s">
        <v>62</v>
      </c>
      <c r="F82" s="3" t="s">
        <v>69</v>
      </c>
      <c r="G82" s="5" t="s">
        <v>70</v>
      </c>
      <c r="H82" s="3" t="n">
        <v>2</v>
      </c>
      <c r="I82" s="6" t="n">
        <v>67</v>
      </c>
      <c r="J82" s="6" t="n">
        <v>50</v>
      </c>
      <c r="K82" s="3" t="n">
        <v>45</v>
      </c>
      <c r="L82" s="3" t="s">
        <v>20</v>
      </c>
      <c r="M82" s="6" t="n">
        <v>134</v>
      </c>
      <c r="N82" s="6" t="n">
        <v>34</v>
      </c>
    </row>
    <row r="83" customFormat="false" ht="15" hidden="false" customHeight="true" outlineLevel="0" collapsed="false">
      <c r="A83" s="7" t="s">
        <v>171</v>
      </c>
      <c r="B83" s="8" t="n">
        <v>44691</v>
      </c>
      <c r="C83" s="7" t="s">
        <v>15</v>
      </c>
      <c r="D83" s="7" t="s">
        <v>16</v>
      </c>
      <c r="E83" s="7" t="s">
        <v>77</v>
      </c>
      <c r="F83" s="7" t="s">
        <v>129</v>
      </c>
      <c r="G83" s="9" t="s">
        <v>130</v>
      </c>
      <c r="H83" s="7" t="n">
        <v>1</v>
      </c>
      <c r="I83" s="10" t="n">
        <v>159</v>
      </c>
      <c r="J83" s="10" t="n">
        <v>120</v>
      </c>
      <c r="K83" s="7" t="n">
        <v>41</v>
      </c>
      <c r="L83" s="7" t="s">
        <v>20</v>
      </c>
      <c r="M83" s="10" t="n">
        <v>159</v>
      </c>
      <c r="N83" s="10" t="n">
        <v>39</v>
      </c>
    </row>
    <row r="84" customFormat="false" ht="15" hidden="false" customHeight="true" outlineLevel="0" collapsed="false">
      <c r="A84" s="3" t="s">
        <v>172</v>
      </c>
      <c r="B84" s="4" t="n">
        <v>44691</v>
      </c>
      <c r="C84" s="3" t="s">
        <v>15</v>
      </c>
      <c r="D84" s="3" t="s">
        <v>16</v>
      </c>
      <c r="E84" s="3" t="s">
        <v>30</v>
      </c>
      <c r="F84" s="3" t="s">
        <v>118</v>
      </c>
      <c r="G84" s="5" t="s">
        <v>119</v>
      </c>
      <c r="H84" s="3" t="n">
        <v>9</v>
      </c>
      <c r="I84" s="6" t="n">
        <v>424</v>
      </c>
      <c r="J84" s="6" t="n">
        <v>280</v>
      </c>
      <c r="K84" s="3" t="n">
        <v>5</v>
      </c>
      <c r="L84" s="3" t="s">
        <v>20</v>
      </c>
      <c r="M84" s="6" t="n">
        <v>3816</v>
      </c>
      <c r="N84" s="6" t="n">
        <v>1296</v>
      </c>
    </row>
    <row r="85" customFormat="false" ht="15" hidden="false" customHeight="true" outlineLevel="0" collapsed="false">
      <c r="A85" s="7" t="s">
        <v>173</v>
      </c>
      <c r="B85" s="8" t="n">
        <v>44692</v>
      </c>
      <c r="C85" s="7" t="s">
        <v>72</v>
      </c>
      <c r="D85" s="7" t="s">
        <v>35</v>
      </c>
      <c r="E85" s="7" t="s">
        <v>62</v>
      </c>
      <c r="F85" s="7" t="s">
        <v>63</v>
      </c>
      <c r="G85" s="9" t="s">
        <v>64</v>
      </c>
      <c r="H85" s="7" t="n">
        <v>6</v>
      </c>
      <c r="I85" s="10" t="n">
        <v>82</v>
      </c>
      <c r="J85" s="10" t="n">
        <v>60</v>
      </c>
      <c r="K85" s="7" t="n">
        <v>50</v>
      </c>
      <c r="L85" s="7" t="s">
        <v>26</v>
      </c>
      <c r="M85" s="10" t="n">
        <v>492</v>
      </c>
      <c r="N85" s="10" t="n">
        <v>132</v>
      </c>
    </row>
    <row r="86" customFormat="false" ht="15" hidden="false" customHeight="true" outlineLevel="0" collapsed="false">
      <c r="A86" s="3" t="s">
        <v>174</v>
      </c>
      <c r="B86" s="4" t="n">
        <v>44692</v>
      </c>
      <c r="C86" s="3" t="s">
        <v>15</v>
      </c>
      <c r="D86" s="3" t="s">
        <v>16</v>
      </c>
      <c r="E86" s="3" t="s">
        <v>17</v>
      </c>
      <c r="F86" s="3" t="s">
        <v>66</v>
      </c>
      <c r="G86" s="5" t="s">
        <v>67</v>
      </c>
      <c r="H86" s="3" t="n">
        <v>13</v>
      </c>
      <c r="I86" s="6" t="n">
        <v>498</v>
      </c>
      <c r="J86" s="6" t="n">
        <v>350</v>
      </c>
      <c r="K86" s="3" t="n">
        <v>16</v>
      </c>
      <c r="L86" s="3" t="s">
        <v>20</v>
      </c>
      <c r="M86" s="6" t="n">
        <v>6474</v>
      </c>
      <c r="N86" s="6" t="n">
        <v>1924</v>
      </c>
    </row>
    <row r="87" customFormat="false" ht="15" hidden="false" customHeight="true" outlineLevel="0" collapsed="false">
      <c r="A87" s="7" t="s">
        <v>175</v>
      </c>
      <c r="B87" s="8" t="n">
        <v>44693</v>
      </c>
      <c r="C87" s="7" t="s">
        <v>22</v>
      </c>
      <c r="D87" s="7" t="s">
        <v>16</v>
      </c>
      <c r="E87" s="7" t="s">
        <v>30</v>
      </c>
      <c r="F87" s="7" t="s">
        <v>87</v>
      </c>
      <c r="G87" s="9" t="s">
        <v>88</v>
      </c>
      <c r="H87" s="7" t="n">
        <v>8</v>
      </c>
      <c r="I87" s="10" t="n">
        <v>1029</v>
      </c>
      <c r="J87" s="10" t="n">
        <v>700</v>
      </c>
      <c r="K87" s="7" t="n">
        <v>49</v>
      </c>
      <c r="L87" s="7" t="s">
        <v>20</v>
      </c>
      <c r="M87" s="10" t="n">
        <v>8232</v>
      </c>
      <c r="N87" s="10" t="n">
        <v>2632</v>
      </c>
    </row>
    <row r="88" customFormat="false" ht="15" hidden="false" customHeight="true" outlineLevel="0" collapsed="false">
      <c r="A88" s="3" t="s">
        <v>176</v>
      </c>
      <c r="B88" s="4" t="n">
        <v>44693</v>
      </c>
      <c r="C88" s="3" t="s">
        <v>111</v>
      </c>
      <c r="D88" s="3" t="s">
        <v>29</v>
      </c>
      <c r="E88" s="3" t="s">
        <v>62</v>
      </c>
      <c r="F88" s="3" t="s">
        <v>84</v>
      </c>
      <c r="G88" s="5" t="s">
        <v>85</v>
      </c>
      <c r="H88" s="3" t="n">
        <v>13</v>
      </c>
      <c r="I88" s="6" t="n">
        <v>493</v>
      </c>
      <c r="J88" s="6" t="n">
        <v>350</v>
      </c>
      <c r="K88" s="3" t="n">
        <v>50</v>
      </c>
      <c r="L88" s="3" t="s">
        <v>26</v>
      </c>
      <c r="M88" s="6" t="n">
        <v>6409</v>
      </c>
      <c r="N88" s="6" t="n">
        <v>1859</v>
      </c>
    </row>
    <row r="89" customFormat="false" ht="15" hidden="false" customHeight="true" outlineLevel="0" collapsed="false">
      <c r="A89" s="7" t="s">
        <v>177</v>
      </c>
      <c r="B89" s="8" t="n">
        <v>44695</v>
      </c>
      <c r="C89" s="7" t="s">
        <v>34</v>
      </c>
      <c r="D89" s="7" t="s">
        <v>35</v>
      </c>
      <c r="E89" s="7" t="s">
        <v>39</v>
      </c>
      <c r="F89" s="7" t="s">
        <v>99</v>
      </c>
      <c r="G89" s="9" t="s">
        <v>100</v>
      </c>
      <c r="H89" s="7" t="n">
        <v>14</v>
      </c>
      <c r="I89" s="10" t="n">
        <v>250</v>
      </c>
      <c r="J89" s="10" t="n">
        <v>220</v>
      </c>
      <c r="K89" s="7" t="n">
        <v>28</v>
      </c>
      <c r="L89" s="7" t="s">
        <v>26</v>
      </c>
      <c r="M89" s="10" t="n">
        <v>3500</v>
      </c>
      <c r="N89" s="10" t="n">
        <v>420</v>
      </c>
    </row>
    <row r="90" customFormat="false" ht="15" hidden="false" customHeight="true" outlineLevel="0" collapsed="false">
      <c r="A90" s="3" t="s">
        <v>178</v>
      </c>
      <c r="B90" s="4" t="n">
        <v>44695</v>
      </c>
      <c r="C90" s="3" t="s">
        <v>111</v>
      </c>
      <c r="D90" s="3" t="s">
        <v>29</v>
      </c>
      <c r="E90" s="3" t="s">
        <v>30</v>
      </c>
      <c r="F90" s="3" t="s">
        <v>118</v>
      </c>
      <c r="G90" s="5" t="s">
        <v>119</v>
      </c>
      <c r="H90" s="3" t="n">
        <v>14</v>
      </c>
      <c r="I90" s="6" t="n">
        <v>397</v>
      </c>
      <c r="J90" s="6" t="n">
        <v>280</v>
      </c>
      <c r="K90" s="3" t="n">
        <v>27</v>
      </c>
      <c r="L90" s="3" t="s">
        <v>20</v>
      </c>
      <c r="M90" s="6" t="n">
        <v>5558</v>
      </c>
      <c r="N90" s="6" t="n">
        <v>1638</v>
      </c>
    </row>
    <row r="91" customFormat="false" ht="15" hidden="false" customHeight="true" outlineLevel="0" collapsed="false">
      <c r="A91" s="7" t="s">
        <v>179</v>
      </c>
      <c r="B91" s="8" t="n">
        <v>44698</v>
      </c>
      <c r="C91" s="7" t="s">
        <v>111</v>
      </c>
      <c r="D91" s="7" t="s">
        <v>29</v>
      </c>
      <c r="E91" s="7" t="s">
        <v>77</v>
      </c>
      <c r="F91" s="7" t="s">
        <v>180</v>
      </c>
      <c r="G91" s="9" t="s">
        <v>181</v>
      </c>
      <c r="H91" s="7" t="n">
        <v>12</v>
      </c>
      <c r="I91" s="10" t="n">
        <v>247</v>
      </c>
      <c r="J91" s="10" t="n">
        <v>180</v>
      </c>
      <c r="K91" s="7" t="n">
        <v>1</v>
      </c>
      <c r="L91" s="7" t="s">
        <v>20</v>
      </c>
      <c r="M91" s="10" t="n">
        <v>2964</v>
      </c>
      <c r="N91" s="10" t="n">
        <v>804</v>
      </c>
    </row>
    <row r="92" customFormat="false" ht="15" hidden="false" customHeight="true" outlineLevel="0" collapsed="false">
      <c r="A92" s="3" t="s">
        <v>182</v>
      </c>
      <c r="B92" s="4" t="n">
        <v>44700</v>
      </c>
      <c r="C92" s="3" t="s">
        <v>28</v>
      </c>
      <c r="D92" s="3" t="s">
        <v>29</v>
      </c>
      <c r="E92" s="3" t="s">
        <v>23</v>
      </c>
      <c r="F92" s="3" t="s">
        <v>24</v>
      </c>
      <c r="G92" s="5" t="s">
        <v>25</v>
      </c>
      <c r="H92" s="3" t="n">
        <v>11</v>
      </c>
      <c r="I92" s="6" t="n">
        <v>431</v>
      </c>
      <c r="J92" s="6" t="n">
        <v>350</v>
      </c>
      <c r="K92" s="3" t="n">
        <v>11</v>
      </c>
      <c r="L92" s="3" t="s">
        <v>26</v>
      </c>
      <c r="M92" s="6" t="n">
        <v>4741</v>
      </c>
      <c r="N92" s="6" t="n">
        <v>891</v>
      </c>
    </row>
    <row r="93" customFormat="false" ht="15" hidden="false" customHeight="true" outlineLevel="0" collapsed="false">
      <c r="A93" s="7" t="s">
        <v>183</v>
      </c>
      <c r="B93" s="8" t="n">
        <v>44701</v>
      </c>
      <c r="C93" s="7" t="s">
        <v>58</v>
      </c>
      <c r="D93" s="7" t="s">
        <v>48</v>
      </c>
      <c r="E93" s="7" t="s">
        <v>77</v>
      </c>
      <c r="F93" s="7" t="s">
        <v>180</v>
      </c>
      <c r="G93" s="9" t="s">
        <v>181</v>
      </c>
      <c r="H93" s="7" t="n">
        <v>5</v>
      </c>
      <c r="I93" s="10" t="n">
        <v>244</v>
      </c>
      <c r="J93" s="10" t="n">
        <v>180</v>
      </c>
      <c r="K93" s="7" t="n">
        <v>10</v>
      </c>
      <c r="L93" s="7" t="s">
        <v>20</v>
      </c>
      <c r="M93" s="10" t="n">
        <v>1220</v>
      </c>
      <c r="N93" s="10" t="n">
        <v>320</v>
      </c>
    </row>
    <row r="94" customFormat="false" ht="15" hidden="false" customHeight="true" outlineLevel="0" collapsed="false">
      <c r="A94" s="3" t="s">
        <v>184</v>
      </c>
      <c r="B94" s="4" t="n">
        <v>44702</v>
      </c>
      <c r="C94" s="3" t="s">
        <v>34</v>
      </c>
      <c r="D94" s="3" t="s">
        <v>35</v>
      </c>
      <c r="E94" s="3" t="s">
        <v>77</v>
      </c>
      <c r="F94" s="3" t="s">
        <v>152</v>
      </c>
      <c r="G94" s="5" t="s">
        <v>153</v>
      </c>
      <c r="H94" s="3" t="n">
        <v>7</v>
      </c>
      <c r="I94" s="6" t="n">
        <v>461</v>
      </c>
      <c r="J94" s="6" t="n">
        <v>350</v>
      </c>
      <c r="K94" s="3" t="n">
        <v>3</v>
      </c>
      <c r="L94" s="3" t="s">
        <v>26</v>
      </c>
      <c r="M94" s="6" t="n">
        <v>3227</v>
      </c>
      <c r="N94" s="6" t="n">
        <v>777</v>
      </c>
    </row>
    <row r="95" customFormat="false" ht="15" hidden="false" customHeight="true" outlineLevel="0" collapsed="false">
      <c r="A95" s="7" t="s">
        <v>185</v>
      </c>
      <c r="B95" s="8" t="n">
        <v>44702</v>
      </c>
      <c r="C95" s="7" t="s">
        <v>52</v>
      </c>
      <c r="D95" s="7" t="s">
        <v>29</v>
      </c>
      <c r="E95" s="7" t="s">
        <v>62</v>
      </c>
      <c r="F95" s="7" t="s">
        <v>103</v>
      </c>
      <c r="G95" s="9" t="s">
        <v>104</v>
      </c>
      <c r="H95" s="7" t="n">
        <v>11</v>
      </c>
      <c r="I95" s="10" t="n">
        <v>116</v>
      </c>
      <c r="J95" s="10" t="n">
        <v>90</v>
      </c>
      <c r="K95" s="7" t="n">
        <v>0</v>
      </c>
      <c r="L95" s="7" t="s">
        <v>20</v>
      </c>
      <c r="M95" s="10" t="n">
        <v>1276</v>
      </c>
      <c r="N95" s="10" t="n">
        <v>286</v>
      </c>
    </row>
    <row r="96" customFormat="false" ht="15" hidden="false" customHeight="true" outlineLevel="0" collapsed="false">
      <c r="A96" s="3" t="s">
        <v>186</v>
      </c>
      <c r="B96" s="4" t="n">
        <v>44706</v>
      </c>
      <c r="C96" s="3" t="s">
        <v>72</v>
      </c>
      <c r="D96" s="3" t="s">
        <v>35</v>
      </c>
      <c r="E96" s="3" t="s">
        <v>17</v>
      </c>
      <c r="F96" s="3" t="s">
        <v>66</v>
      </c>
      <c r="G96" s="5" t="s">
        <v>67</v>
      </c>
      <c r="H96" s="3" t="n">
        <v>6</v>
      </c>
      <c r="I96" s="6" t="n">
        <v>502</v>
      </c>
      <c r="J96" s="6" t="n">
        <v>350</v>
      </c>
      <c r="K96" s="3" t="n">
        <v>35</v>
      </c>
      <c r="L96" s="3" t="s">
        <v>26</v>
      </c>
      <c r="M96" s="6" t="n">
        <v>3012</v>
      </c>
      <c r="N96" s="6" t="n">
        <v>912</v>
      </c>
    </row>
    <row r="97" customFormat="false" ht="15" hidden="false" customHeight="true" outlineLevel="0" collapsed="false">
      <c r="A97" s="7" t="s">
        <v>187</v>
      </c>
      <c r="B97" s="8" t="n">
        <v>44706</v>
      </c>
      <c r="C97" s="7" t="s">
        <v>28</v>
      </c>
      <c r="D97" s="7" t="s">
        <v>29</v>
      </c>
      <c r="E97" s="7" t="s">
        <v>62</v>
      </c>
      <c r="F97" s="7" t="s">
        <v>96</v>
      </c>
      <c r="G97" s="9" t="s">
        <v>97</v>
      </c>
      <c r="H97" s="7" t="n">
        <v>8</v>
      </c>
      <c r="I97" s="10" t="n">
        <v>106</v>
      </c>
      <c r="J97" s="10" t="n">
        <v>80</v>
      </c>
      <c r="K97" s="7" t="n">
        <v>23</v>
      </c>
      <c r="L97" s="7" t="s">
        <v>26</v>
      </c>
      <c r="M97" s="10" t="n">
        <v>848</v>
      </c>
      <c r="N97" s="10" t="n">
        <v>208</v>
      </c>
    </row>
    <row r="98" customFormat="false" ht="15" hidden="false" customHeight="true" outlineLevel="0" collapsed="false">
      <c r="A98" s="3" t="s">
        <v>188</v>
      </c>
      <c r="B98" s="4" t="n">
        <v>44711</v>
      </c>
      <c r="C98" s="3" t="s">
        <v>43</v>
      </c>
      <c r="D98" s="3" t="s">
        <v>16</v>
      </c>
      <c r="E98" s="3" t="s">
        <v>23</v>
      </c>
      <c r="F98" s="3" t="s">
        <v>49</v>
      </c>
      <c r="G98" s="5" t="s">
        <v>50</v>
      </c>
      <c r="H98" s="3" t="n">
        <v>13</v>
      </c>
      <c r="I98" s="6" t="n">
        <v>21301</v>
      </c>
      <c r="J98" s="6" t="n">
        <v>18000</v>
      </c>
      <c r="K98" s="3" t="n">
        <v>24</v>
      </c>
      <c r="L98" s="3" t="s">
        <v>26</v>
      </c>
      <c r="M98" s="6" t="n">
        <v>276913</v>
      </c>
      <c r="N98" s="6" t="n">
        <v>42913</v>
      </c>
    </row>
    <row r="99" customFormat="false" ht="15" hidden="false" customHeight="true" outlineLevel="0" collapsed="false">
      <c r="A99" s="7" t="s">
        <v>189</v>
      </c>
      <c r="B99" s="8" t="n">
        <v>44714</v>
      </c>
      <c r="C99" s="7" t="s">
        <v>34</v>
      </c>
      <c r="D99" s="7" t="s">
        <v>35</v>
      </c>
      <c r="E99" s="7" t="s">
        <v>23</v>
      </c>
      <c r="F99" s="7" t="s">
        <v>49</v>
      </c>
      <c r="G99" s="9" t="s">
        <v>50</v>
      </c>
      <c r="H99" s="7" t="n">
        <v>15</v>
      </c>
      <c r="I99" s="10" t="n">
        <v>22337</v>
      </c>
      <c r="J99" s="10" t="n">
        <v>18000</v>
      </c>
      <c r="K99" s="7" t="n">
        <v>42</v>
      </c>
      <c r="L99" s="7" t="s">
        <v>26</v>
      </c>
      <c r="M99" s="10" t="n">
        <v>335055</v>
      </c>
      <c r="N99" s="10" t="n">
        <v>65055</v>
      </c>
    </row>
    <row r="100" customFormat="false" ht="15" hidden="false" customHeight="true" outlineLevel="0" collapsed="false">
      <c r="A100" s="3" t="s">
        <v>190</v>
      </c>
      <c r="B100" s="4" t="n">
        <v>44715</v>
      </c>
      <c r="C100" s="3" t="s">
        <v>43</v>
      </c>
      <c r="D100" s="3" t="s">
        <v>16</v>
      </c>
      <c r="E100" s="3" t="s">
        <v>77</v>
      </c>
      <c r="F100" s="3" t="s">
        <v>78</v>
      </c>
      <c r="G100" s="5" t="s">
        <v>79</v>
      </c>
      <c r="H100" s="3" t="n">
        <v>1</v>
      </c>
      <c r="I100" s="6" t="n">
        <v>1236</v>
      </c>
      <c r="J100" s="6" t="n">
        <v>900</v>
      </c>
      <c r="K100" s="3" t="n">
        <v>7</v>
      </c>
      <c r="L100" s="3" t="s">
        <v>20</v>
      </c>
      <c r="M100" s="6" t="n">
        <v>1236</v>
      </c>
      <c r="N100" s="6" t="n">
        <v>336</v>
      </c>
    </row>
    <row r="101" customFormat="false" ht="15" hidden="false" customHeight="true" outlineLevel="0" collapsed="false">
      <c r="A101" s="7" t="s">
        <v>191</v>
      </c>
      <c r="B101" s="8" t="n">
        <v>44717</v>
      </c>
      <c r="C101" s="7" t="s">
        <v>52</v>
      </c>
      <c r="D101" s="7" t="s">
        <v>29</v>
      </c>
      <c r="E101" s="7" t="s">
        <v>23</v>
      </c>
      <c r="F101" s="7" t="s">
        <v>49</v>
      </c>
      <c r="G101" s="9" t="s">
        <v>50</v>
      </c>
      <c r="H101" s="7" t="n">
        <v>2</v>
      </c>
      <c r="I101" s="10" t="n">
        <v>21742</v>
      </c>
      <c r="J101" s="10" t="n">
        <v>18000</v>
      </c>
      <c r="K101" s="7" t="n">
        <v>46</v>
      </c>
      <c r="L101" s="7" t="s">
        <v>26</v>
      </c>
      <c r="M101" s="10" t="n">
        <v>43484</v>
      </c>
      <c r="N101" s="10" t="n">
        <v>7484</v>
      </c>
    </row>
    <row r="102" customFormat="false" ht="15" hidden="false" customHeight="true" outlineLevel="0" collapsed="false">
      <c r="A102" s="3" t="s">
        <v>192</v>
      </c>
      <c r="B102" s="4" t="n">
        <v>44720</v>
      </c>
      <c r="C102" s="3" t="s">
        <v>43</v>
      </c>
      <c r="D102" s="3" t="s">
        <v>16</v>
      </c>
      <c r="E102" s="3" t="s">
        <v>30</v>
      </c>
      <c r="F102" s="3" t="s">
        <v>87</v>
      </c>
      <c r="G102" s="5" t="s">
        <v>88</v>
      </c>
      <c r="H102" s="3" t="n">
        <v>8</v>
      </c>
      <c r="I102" s="6" t="n">
        <v>1060</v>
      </c>
      <c r="J102" s="6" t="n">
        <v>700</v>
      </c>
      <c r="K102" s="3" t="n">
        <v>20</v>
      </c>
      <c r="L102" s="3" t="s">
        <v>26</v>
      </c>
      <c r="M102" s="6" t="n">
        <v>8480</v>
      </c>
      <c r="N102" s="6" t="n">
        <v>2880</v>
      </c>
    </row>
    <row r="103" customFormat="false" ht="15" hidden="false" customHeight="true" outlineLevel="0" collapsed="false">
      <c r="A103" s="7" t="s">
        <v>193</v>
      </c>
      <c r="B103" s="8" t="n">
        <v>44722</v>
      </c>
      <c r="C103" s="7" t="s">
        <v>94</v>
      </c>
      <c r="D103" s="7" t="s">
        <v>48</v>
      </c>
      <c r="E103" s="7" t="s">
        <v>77</v>
      </c>
      <c r="F103" s="7" t="s">
        <v>81</v>
      </c>
      <c r="G103" s="9" t="s">
        <v>82</v>
      </c>
      <c r="H103" s="7" t="n">
        <v>4</v>
      </c>
      <c r="I103" s="10" t="n">
        <v>865</v>
      </c>
      <c r="J103" s="10" t="n">
        <v>600</v>
      </c>
      <c r="K103" s="7" t="n">
        <v>22</v>
      </c>
      <c r="L103" s="7" t="s">
        <v>26</v>
      </c>
      <c r="M103" s="10" t="n">
        <v>3460</v>
      </c>
      <c r="N103" s="10" t="n">
        <v>1060</v>
      </c>
    </row>
    <row r="104" customFormat="false" ht="15" hidden="false" customHeight="true" outlineLevel="0" collapsed="false">
      <c r="A104" s="3" t="s">
        <v>194</v>
      </c>
      <c r="B104" s="4" t="n">
        <v>44722</v>
      </c>
      <c r="C104" s="3" t="s">
        <v>111</v>
      </c>
      <c r="D104" s="3" t="s">
        <v>29</v>
      </c>
      <c r="E104" s="3" t="s">
        <v>30</v>
      </c>
      <c r="F104" s="3" t="s">
        <v>31</v>
      </c>
      <c r="G104" s="5" t="s">
        <v>32</v>
      </c>
      <c r="H104" s="3" t="n">
        <v>10</v>
      </c>
      <c r="I104" s="6" t="n">
        <v>1808</v>
      </c>
      <c r="J104" s="6" t="n">
        <v>1200</v>
      </c>
      <c r="K104" s="3" t="n">
        <v>6</v>
      </c>
      <c r="L104" s="3" t="s">
        <v>20</v>
      </c>
      <c r="M104" s="6" t="n">
        <v>18080</v>
      </c>
      <c r="N104" s="6" t="n">
        <v>6080</v>
      </c>
    </row>
    <row r="105" customFormat="false" ht="15" hidden="false" customHeight="true" outlineLevel="0" collapsed="false">
      <c r="A105" s="7" t="s">
        <v>195</v>
      </c>
      <c r="B105" s="8" t="n">
        <v>44723</v>
      </c>
      <c r="C105" s="7" t="s">
        <v>52</v>
      </c>
      <c r="D105" s="7" t="s">
        <v>29</v>
      </c>
      <c r="E105" s="7" t="s">
        <v>39</v>
      </c>
      <c r="F105" s="7" t="s">
        <v>143</v>
      </c>
      <c r="G105" s="9" t="s">
        <v>144</v>
      </c>
      <c r="H105" s="7" t="n">
        <v>11</v>
      </c>
      <c r="I105" s="10" t="n">
        <v>315</v>
      </c>
      <c r="J105" s="10" t="n">
        <v>280</v>
      </c>
      <c r="K105" s="7" t="n">
        <v>4</v>
      </c>
      <c r="L105" s="7" t="s">
        <v>26</v>
      </c>
      <c r="M105" s="10" t="n">
        <v>3465</v>
      </c>
      <c r="N105" s="10" t="n">
        <v>385</v>
      </c>
    </row>
    <row r="106" customFormat="false" ht="15" hidden="false" customHeight="true" outlineLevel="0" collapsed="false">
      <c r="A106" s="3" t="s">
        <v>196</v>
      </c>
      <c r="B106" s="4" t="n">
        <v>44725</v>
      </c>
      <c r="C106" s="3" t="s">
        <v>22</v>
      </c>
      <c r="D106" s="3" t="s">
        <v>16</v>
      </c>
      <c r="E106" s="3" t="s">
        <v>77</v>
      </c>
      <c r="F106" s="3" t="s">
        <v>152</v>
      </c>
      <c r="G106" s="5" t="s">
        <v>153</v>
      </c>
      <c r="H106" s="3" t="n">
        <v>12</v>
      </c>
      <c r="I106" s="6" t="n">
        <v>504</v>
      </c>
      <c r="J106" s="6" t="n">
        <v>350</v>
      </c>
      <c r="K106" s="3" t="n">
        <v>2</v>
      </c>
      <c r="L106" s="3" t="s">
        <v>26</v>
      </c>
      <c r="M106" s="6" t="n">
        <v>6048</v>
      </c>
      <c r="N106" s="6" t="n">
        <v>1848</v>
      </c>
    </row>
    <row r="107" customFormat="false" ht="15" hidden="false" customHeight="true" outlineLevel="0" collapsed="false">
      <c r="A107" s="7" t="s">
        <v>197</v>
      </c>
      <c r="B107" s="8" t="n">
        <v>44725</v>
      </c>
      <c r="C107" s="7" t="s">
        <v>136</v>
      </c>
      <c r="D107" s="7" t="s">
        <v>35</v>
      </c>
      <c r="E107" s="7" t="s">
        <v>23</v>
      </c>
      <c r="F107" s="7" t="s">
        <v>198</v>
      </c>
      <c r="G107" s="9" t="s">
        <v>199</v>
      </c>
      <c r="H107" s="7" t="n">
        <v>3</v>
      </c>
      <c r="I107" s="10" t="n">
        <v>1101</v>
      </c>
      <c r="J107" s="10" t="n">
        <v>900</v>
      </c>
      <c r="K107" s="7" t="n">
        <v>10</v>
      </c>
      <c r="L107" s="7" t="s">
        <v>26</v>
      </c>
      <c r="M107" s="10" t="n">
        <v>3303</v>
      </c>
      <c r="N107" s="10" t="n">
        <v>603</v>
      </c>
    </row>
    <row r="108" customFormat="false" ht="15" hidden="false" customHeight="true" outlineLevel="0" collapsed="false">
      <c r="A108" s="3" t="s">
        <v>200</v>
      </c>
      <c r="B108" s="4" t="n">
        <v>44726</v>
      </c>
      <c r="C108" s="3" t="s">
        <v>52</v>
      </c>
      <c r="D108" s="3" t="s">
        <v>29</v>
      </c>
      <c r="E108" s="3" t="s">
        <v>39</v>
      </c>
      <c r="F108" s="3" t="s">
        <v>99</v>
      </c>
      <c r="G108" s="5" t="s">
        <v>100</v>
      </c>
      <c r="H108" s="3" t="n">
        <v>12</v>
      </c>
      <c r="I108" s="6" t="n">
        <v>271</v>
      </c>
      <c r="J108" s="6" t="n">
        <v>220</v>
      </c>
      <c r="K108" s="3" t="n">
        <v>13</v>
      </c>
      <c r="L108" s="3" t="s">
        <v>26</v>
      </c>
      <c r="M108" s="6" t="n">
        <v>3252</v>
      </c>
      <c r="N108" s="6" t="n">
        <v>612</v>
      </c>
    </row>
    <row r="109" customFormat="false" ht="15" hidden="false" customHeight="true" outlineLevel="0" collapsed="false">
      <c r="A109" s="7" t="s">
        <v>201</v>
      </c>
      <c r="B109" s="8" t="n">
        <v>44727</v>
      </c>
      <c r="C109" s="7" t="s">
        <v>22</v>
      </c>
      <c r="D109" s="7" t="s">
        <v>16</v>
      </c>
      <c r="E109" s="7" t="s">
        <v>77</v>
      </c>
      <c r="F109" s="7" t="s">
        <v>180</v>
      </c>
      <c r="G109" s="9" t="s">
        <v>181</v>
      </c>
      <c r="H109" s="7" t="n">
        <v>9</v>
      </c>
      <c r="I109" s="10" t="n">
        <v>257</v>
      </c>
      <c r="J109" s="10" t="n">
        <v>180</v>
      </c>
      <c r="K109" s="7" t="n">
        <v>5</v>
      </c>
      <c r="L109" s="7" t="s">
        <v>20</v>
      </c>
      <c r="M109" s="10" t="n">
        <v>2313</v>
      </c>
      <c r="N109" s="10" t="n">
        <v>693</v>
      </c>
    </row>
    <row r="110" customFormat="false" ht="15" hidden="false" customHeight="true" outlineLevel="0" collapsed="false">
      <c r="A110" s="3" t="s">
        <v>202</v>
      </c>
      <c r="B110" s="4" t="n">
        <v>44733</v>
      </c>
      <c r="C110" s="3" t="s">
        <v>47</v>
      </c>
      <c r="D110" s="3" t="s">
        <v>48</v>
      </c>
      <c r="E110" s="3" t="s">
        <v>62</v>
      </c>
      <c r="F110" s="3" t="s">
        <v>69</v>
      </c>
      <c r="G110" s="5" t="s">
        <v>70</v>
      </c>
      <c r="H110" s="3" t="n">
        <v>13</v>
      </c>
      <c r="I110" s="6" t="n">
        <v>65</v>
      </c>
      <c r="J110" s="6" t="n">
        <v>50</v>
      </c>
      <c r="K110" s="3" t="n">
        <v>17</v>
      </c>
      <c r="L110" s="3" t="s">
        <v>26</v>
      </c>
      <c r="M110" s="6" t="n">
        <v>845</v>
      </c>
      <c r="N110" s="6" t="n">
        <v>195</v>
      </c>
    </row>
    <row r="111" customFormat="false" ht="15" hidden="false" customHeight="true" outlineLevel="0" collapsed="false">
      <c r="A111" s="7" t="s">
        <v>203</v>
      </c>
      <c r="B111" s="8" t="n">
        <v>44735</v>
      </c>
      <c r="C111" s="7" t="s">
        <v>111</v>
      </c>
      <c r="D111" s="7" t="s">
        <v>29</v>
      </c>
      <c r="E111" s="7" t="s">
        <v>23</v>
      </c>
      <c r="F111" s="7" t="s">
        <v>204</v>
      </c>
      <c r="G111" s="9" t="s">
        <v>205</v>
      </c>
      <c r="H111" s="7" t="n">
        <v>3</v>
      </c>
      <c r="I111" s="10" t="n">
        <v>2135</v>
      </c>
      <c r="J111" s="10" t="n">
        <v>1800</v>
      </c>
      <c r="K111" s="7" t="n">
        <v>7</v>
      </c>
      <c r="L111" s="7" t="s">
        <v>26</v>
      </c>
      <c r="M111" s="10" t="n">
        <v>6405</v>
      </c>
      <c r="N111" s="10" t="n">
        <v>1005</v>
      </c>
    </row>
    <row r="112" customFormat="false" ht="15" hidden="false" customHeight="true" outlineLevel="0" collapsed="false">
      <c r="A112" s="3" t="s">
        <v>206</v>
      </c>
      <c r="B112" s="4" t="n">
        <v>44736</v>
      </c>
      <c r="C112" s="3" t="s">
        <v>52</v>
      </c>
      <c r="D112" s="3" t="s">
        <v>29</v>
      </c>
      <c r="E112" s="3" t="s">
        <v>23</v>
      </c>
      <c r="F112" s="3" t="s">
        <v>49</v>
      </c>
      <c r="G112" s="5" t="s">
        <v>50</v>
      </c>
      <c r="H112" s="3" t="n">
        <v>6</v>
      </c>
      <c r="I112" s="6" t="n">
        <v>21510</v>
      </c>
      <c r="J112" s="6" t="n">
        <v>18000</v>
      </c>
      <c r="K112" s="3" t="n">
        <v>3</v>
      </c>
      <c r="L112" s="3" t="s">
        <v>26</v>
      </c>
      <c r="M112" s="6" t="n">
        <v>129060</v>
      </c>
      <c r="N112" s="6" t="n">
        <v>21060</v>
      </c>
    </row>
    <row r="113" customFormat="false" ht="15" hidden="false" customHeight="true" outlineLevel="0" collapsed="false">
      <c r="A113" s="7" t="s">
        <v>207</v>
      </c>
      <c r="B113" s="8" t="n">
        <v>44736</v>
      </c>
      <c r="C113" s="7" t="s">
        <v>28</v>
      </c>
      <c r="D113" s="7" t="s">
        <v>29</v>
      </c>
      <c r="E113" s="7" t="s">
        <v>77</v>
      </c>
      <c r="F113" s="7" t="s">
        <v>78</v>
      </c>
      <c r="G113" s="9" t="s">
        <v>79</v>
      </c>
      <c r="H113" s="7" t="n">
        <v>11</v>
      </c>
      <c r="I113" s="10" t="n">
        <v>1292</v>
      </c>
      <c r="J113" s="10" t="n">
        <v>900</v>
      </c>
      <c r="K113" s="7" t="n">
        <v>38</v>
      </c>
      <c r="L113" s="7" t="s">
        <v>20</v>
      </c>
      <c r="M113" s="10" t="n">
        <v>14212</v>
      </c>
      <c r="N113" s="10" t="n">
        <v>4312</v>
      </c>
    </row>
    <row r="114" customFormat="false" ht="15" hidden="false" customHeight="true" outlineLevel="0" collapsed="false">
      <c r="A114" s="3" t="s">
        <v>208</v>
      </c>
      <c r="B114" s="4" t="n">
        <v>44738</v>
      </c>
      <c r="C114" s="3" t="s">
        <v>136</v>
      </c>
      <c r="D114" s="3" t="s">
        <v>35</v>
      </c>
      <c r="E114" s="3" t="s">
        <v>30</v>
      </c>
      <c r="F114" s="3" t="s">
        <v>118</v>
      </c>
      <c r="G114" s="5" t="s">
        <v>119</v>
      </c>
      <c r="H114" s="3" t="n">
        <v>10</v>
      </c>
      <c r="I114" s="6" t="n">
        <v>421</v>
      </c>
      <c r="J114" s="6" t="n">
        <v>280</v>
      </c>
      <c r="K114" s="3" t="n">
        <v>29</v>
      </c>
      <c r="L114" s="3" t="s">
        <v>26</v>
      </c>
      <c r="M114" s="6" t="n">
        <v>4210</v>
      </c>
      <c r="N114" s="6" t="n">
        <v>1410</v>
      </c>
    </row>
    <row r="115" customFormat="false" ht="15" hidden="false" customHeight="true" outlineLevel="0" collapsed="false">
      <c r="A115" s="7" t="s">
        <v>209</v>
      </c>
      <c r="B115" s="8" t="n">
        <v>44739</v>
      </c>
      <c r="C115" s="7" t="s">
        <v>15</v>
      </c>
      <c r="D115" s="7" t="s">
        <v>16</v>
      </c>
      <c r="E115" s="7" t="s">
        <v>30</v>
      </c>
      <c r="F115" s="7" t="s">
        <v>31</v>
      </c>
      <c r="G115" s="9" t="s">
        <v>32</v>
      </c>
      <c r="H115" s="7" t="n">
        <v>13</v>
      </c>
      <c r="I115" s="10" t="n">
        <v>1800</v>
      </c>
      <c r="J115" s="10" t="n">
        <v>1200</v>
      </c>
      <c r="K115" s="7" t="n">
        <v>28</v>
      </c>
      <c r="L115" s="7" t="s">
        <v>26</v>
      </c>
      <c r="M115" s="10" t="n">
        <v>23400</v>
      </c>
      <c r="N115" s="10" t="n">
        <v>7800</v>
      </c>
    </row>
    <row r="116" customFormat="false" ht="15" hidden="false" customHeight="true" outlineLevel="0" collapsed="false">
      <c r="A116" s="3" t="s">
        <v>210</v>
      </c>
      <c r="B116" s="4" t="n">
        <v>44740</v>
      </c>
      <c r="C116" s="3" t="s">
        <v>43</v>
      </c>
      <c r="D116" s="3" t="s">
        <v>16</v>
      </c>
      <c r="E116" s="3" t="s">
        <v>62</v>
      </c>
      <c r="F116" s="3" t="s">
        <v>96</v>
      </c>
      <c r="G116" s="5" t="s">
        <v>97</v>
      </c>
      <c r="H116" s="3" t="n">
        <v>3</v>
      </c>
      <c r="I116" s="6" t="n">
        <v>106</v>
      </c>
      <c r="J116" s="6" t="n">
        <v>80</v>
      </c>
      <c r="K116" s="3" t="n">
        <v>40</v>
      </c>
      <c r="L116" s="3" t="s">
        <v>26</v>
      </c>
      <c r="M116" s="6" t="n">
        <v>318</v>
      </c>
      <c r="N116" s="6" t="n">
        <v>78</v>
      </c>
    </row>
    <row r="117" customFormat="false" ht="15" hidden="false" customHeight="true" outlineLevel="0" collapsed="false">
      <c r="A117" s="7" t="s">
        <v>211</v>
      </c>
      <c r="B117" s="8" t="n">
        <v>44740</v>
      </c>
      <c r="C117" s="7" t="s">
        <v>47</v>
      </c>
      <c r="D117" s="7" t="s">
        <v>48</v>
      </c>
      <c r="E117" s="7" t="s">
        <v>23</v>
      </c>
      <c r="F117" s="7" t="s">
        <v>204</v>
      </c>
      <c r="G117" s="9" t="s">
        <v>205</v>
      </c>
      <c r="H117" s="7" t="n">
        <v>13</v>
      </c>
      <c r="I117" s="10" t="n">
        <v>2089</v>
      </c>
      <c r="J117" s="10" t="n">
        <v>1800</v>
      </c>
      <c r="K117" s="7" t="n">
        <v>43</v>
      </c>
      <c r="L117" s="7" t="s">
        <v>26</v>
      </c>
      <c r="M117" s="10" t="n">
        <v>27157</v>
      </c>
      <c r="N117" s="10" t="n">
        <v>3757</v>
      </c>
    </row>
    <row r="118" customFormat="false" ht="15" hidden="false" customHeight="true" outlineLevel="0" collapsed="false">
      <c r="A118" s="3" t="s">
        <v>212</v>
      </c>
      <c r="B118" s="4" t="n">
        <v>44744</v>
      </c>
      <c r="C118" s="3" t="s">
        <v>136</v>
      </c>
      <c r="D118" s="3" t="s">
        <v>35</v>
      </c>
      <c r="E118" s="3" t="s">
        <v>23</v>
      </c>
      <c r="F118" s="3" t="s">
        <v>198</v>
      </c>
      <c r="G118" s="5" t="s">
        <v>199</v>
      </c>
      <c r="H118" s="3" t="n">
        <v>8</v>
      </c>
      <c r="I118" s="6" t="n">
        <v>1091</v>
      </c>
      <c r="J118" s="6" t="n">
        <v>900</v>
      </c>
      <c r="K118" s="3" t="n">
        <v>22</v>
      </c>
      <c r="L118" s="3" t="s">
        <v>20</v>
      </c>
      <c r="M118" s="6" t="n">
        <v>8728</v>
      </c>
      <c r="N118" s="6" t="n">
        <v>1528</v>
      </c>
    </row>
    <row r="119" customFormat="false" ht="15" hidden="false" customHeight="true" outlineLevel="0" collapsed="false">
      <c r="A119" s="7" t="s">
        <v>213</v>
      </c>
      <c r="B119" s="8" t="n">
        <v>44744</v>
      </c>
      <c r="C119" s="7" t="s">
        <v>94</v>
      </c>
      <c r="D119" s="7" t="s">
        <v>48</v>
      </c>
      <c r="E119" s="7" t="s">
        <v>77</v>
      </c>
      <c r="F119" s="7" t="s">
        <v>180</v>
      </c>
      <c r="G119" s="9" t="s">
        <v>181</v>
      </c>
      <c r="H119" s="7" t="n">
        <v>15</v>
      </c>
      <c r="I119" s="10" t="n">
        <v>253</v>
      </c>
      <c r="J119" s="10" t="n">
        <v>180</v>
      </c>
      <c r="K119" s="7" t="n">
        <v>47</v>
      </c>
      <c r="L119" s="7" t="s">
        <v>20</v>
      </c>
      <c r="M119" s="10" t="n">
        <v>3795</v>
      </c>
      <c r="N119" s="10" t="n">
        <v>1095</v>
      </c>
    </row>
    <row r="120" customFormat="false" ht="15" hidden="false" customHeight="true" outlineLevel="0" collapsed="false">
      <c r="A120" s="3" t="s">
        <v>214</v>
      </c>
      <c r="B120" s="4" t="n">
        <v>44745</v>
      </c>
      <c r="C120" s="3" t="s">
        <v>58</v>
      </c>
      <c r="D120" s="3" t="s">
        <v>48</v>
      </c>
      <c r="E120" s="3" t="s">
        <v>62</v>
      </c>
      <c r="F120" s="3" t="s">
        <v>103</v>
      </c>
      <c r="G120" s="5" t="s">
        <v>104</v>
      </c>
      <c r="H120" s="3" t="n">
        <v>2</v>
      </c>
      <c r="I120" s="6" t="n">
        <v>123</v>
      </c>
      <c r="J120" s="6" t="n">
        <v>90</v>
      </c>
      <c r="K120" s="3" t="n">
        <v>24</v>
      </c>
      <c r="L120" s="3" t="s">
        <v>26</v>
      </c>
      <c r="M120" s="6" t="n">
        <v>246</v>
      </c>
      <c r="N120" s="6" t="n">
        <v>66</v>
      </c>
    </row>
    <row r="121" customFormat="false" ht="15" hidden="false" customHeight="true" outlineLevel="0" collapsed="false">
      <c r="A121" s="7" t="s">
        <v>215</v>
      </c>
      <c r="B121" s="8" t="n">
        <v>44745</v>
      </c>
      <c r="C121" s="7" t="s">
        <v>136</v>
      </c>
      <c r="D121" s="7" t="s">
        <v>35</v>
      </c>
      <c r="E121" s="7" t="s">
        <v>39</v>
      </c>
      <c r="F121" s="7" t="s">
        <v>143</v>
      </c>
      <c r="G121" s="9" t="s">
        <v>144</v>
      </c>
      <c r="H121" s="7" t="n">
        <v>2</v>
      </c>
      <c r="I121" s="10" t="n">
        <v>333</v>
      </c>
      <c r="J121" s="10" t="n">
        <v>280</v>
      </c>
      <c r="K121" s="7" t="n">
        <v>49</v>
      </c>
      <c r="L121" s="7" t="s">
        <v>26</v>
      </c>
      <c r="M121" s="10" t="n">
        <v>666</v>
      </c>
      <c r="N121" s="10" t="n">
        <v>106</v>
      </c>
    </row>
    <row r="122" customFormat="false" ht="15" hidden="false" customHeight="true" outlineLevel="0" collapsed="false">
      <c r="A122" s="3" t="s">
        <v>216</v>
      </c>
      <c r="B122" s="4" t="n">
        <v>44747</v>
      </c>
      <c r="C122" s="3" t="s">
        <v>94</v>
      </c>
      <c r="D122" s="3" t="s">
        <v>48</v>
      </c>
      <c r="E122" s="3" t="s">
        <v>77</v>
      </c>
      <c r="F122" s="3" t="s">
        <v>180</v>
      </c>
      <c r="G122" s="5" t="s">
        <v>181</v>
      </c>
      <c r="H122" s="3" t="n">
        <v>5</v>
      </c>
      <c r="I122" s="6" t="n">
        <v>237</v>
      </c>
      <c r="J122" s="6" t="n">
        <v>180</v>
      </c>
      <c r="K122" s="3" t="n">
        <v>27</v>
      </c>
      <c r="L122" s="3" t="s">
        <v>26</v>
      </c>
      <c r="M122" s="6" t="n">
        <v>1185</v>
      </c>
      <c r="N122" s="6" t="n">
        <v>285</v>
      </c>
    </row>
    <row r="123" customFormat="false" ht="15" hidden="false" customHeight="true" outlineLevel="0" collapsed="false">
      <c r="A123" s="7" t="s">
        <v>217</v>
      </c>
      <c r="B123" s="8" t="n">
        <v>44749</v>
      </c>
      <c r="C123" s="7" t="s">
        <v>28</v>
      </c>
      <c r="D123" s="7" t="s">
        <v>29</v>
      </c>
      <c r="E123" s="7" t="s">
        <v>30</v>
      </c>
      <c r="F123" s="7" t="s">
        <v>87</v>
      </c>
      <c r="G123" s="9" t="s">
        <v>88</v>
      </c>
      <c r="H123" s="7" t="n">
        <v>3</v>
      </c>
      <c r="I123" s="10" t="n">
        <v>974</v>
      </c>
      <c r="J123" s="10" t="n">
        <v>700</v>
      </c>
      <c r="K123" s="7" t="n">
        <v>41</v>
      </c>
      <c r="L123" s="7" t="s">
        <v>20</v>
      </c>
      <c r="M123" s="10" t="n">
        <v>2922</v>
      </c>
      <c r="N123" s="10" t="n">
        <v>822</v>
      </c>
    </row>
    <row r="124" customFormat="false" ht="15" hidden="false" customHeight="true" outlineLevel="0" collapsed="false">
      <c r="A124" s="3" t="s">
        <v>218</v>
      </c>
      <c r="B124" s="4" t="n">
        <v>44750</v>
      </c>
      <c r="C124" s="3" t="s">
        <v>47</v>
      </c>
      <c r="D124" s="3" t="s">
        <v>48</v>
      </c>
      <c r="E124" s="3" t="s">
        <v>17</v>
      </c>
      <c r="F124" s="3" t="s">
        <v>59</v>
      </c>
      <c r="G124" s="5" t="s">
        <v>60</v>
      </c>
      <c r="H124" s="3" t="n">
        <v>7</v>
      </c>
      <c r="I124" s="6" t="n">
        <v>385</v>
      </c>
      <c r="J124" s="6" t="n">
        <v>280</v>
      </c>
      <c r="K124" s="3" t="n">
        <v>15</v>
      </c>
      <c r="L124" s="3" t="s">
        <v>20</v>
      </c>
      <c r="M124" s="6" t="n">
        <v>2695</v>
      </c>
      <c r="N124" s="6" t="n">
        <v>735</v>
      </c>
    </row>
    <row r="125" customFormat="false" ht="15" hidden="false" customHeight="true" outlineLevel="0" collapsed="false">
      <c r="A125" s="7" t="s">
        <v>219</v>
      </c>
      <c r="B125" s="8" t="n">
        <v>44754</v>
      </c>
      <c r="C125" s="7" t="s">
        <v>28</v>
      </c>
      <c r="D125" s="7" t="s">
        <v>29</v>
      </c>
      <c r="E125" s="7" t="s">
        <v>39</v>
      </c>
      <c r="F125" s="7" t="s">
        <v>220</v>
      </c>
      <c r="G125" s="9" t="s">
        <v>221</v>
      </c>
      <c r="H125" s="7" t="n">
        <v>3</v>
      </c>
      <c r="I125" s="10" t="n">
        <v>221</v>
      </c>
      <c r="J125" s="10" t="n">
        <v>180</v>
      </c>
      <c r="K125" s="7" t="n">
        <v>37</v>
      </c>
      <c r="L125" s="7" t="s">
        <v>26</v>
      </c>
      <c r="M125" s="10" t="n">
        <v>663</v>
      </c>
      <c r="N125" s="10" t="n">
        <v>123</v>
      </c>
    </row>
    <row r="126" customFormat="false" ht="15" hidden="false" customHeight="true" outlineLevel="0" collapsed="false">
      <c r="A126" s="3" t="s">
        <v>222</v>
      </c>
      <c r="B126" s="4" t="n">
        <v>44756</v>
      </c>
      <c r="C126" s="3" t="s">
        <v>47</v>
      </c>
      <c r="D126" s="3" t="s">
        <v>48</v>
      </c>
      <c r="E126" s="3" t="s">
        <v>77</v>
      </c>
      <c r="F126" s="3" t="s">
        <v>81</v>
      </c>
      <c r="G126" s="5" t="s">
        <v>82</v>
      </c>
      <c r="H126" s="3" t="n">
        <v>12</v>
      </c>
      <c r="I126" s="6" t="n">
        <v>792</v>
      </c>
      <c r="J126" s="6" t="n">
        <v>600</v>
      </c>
      <c r="K126" s="3" t="n">
        <v>12</v>
      </c>
      <c r="L126" s="3" t="s">
        <v>20</v>
      </c>
      <c r="M126" s="6" t="n">
        <v>9504</v>
      </c>
      <c r="N126" s="6" t="n">
        <v>2304</v>
      </c>
    </row>
    <row r="127" customFormat="false" ht="15" hidden="false" customHeight="true" outlineLevel="0" collapsed="false">
      <c r="A127" s="7" t="s">
        <v>223</v>
      </c>
      <c r="B127" s="8" t="n">
        <v>44756</v>
      </c>
      <c r="C127" s="7" t="s">
        <v>47</v>
      </c>
      <c r="D127" s="7" t="s">
        <v>48</v>
      </c>
      <c r="E127" s="7" t="s">
        <v>39</v>
      </c>
      <c r="F127" s="7" t="s">
        <v>99</v>
      </c>
      <c r="G127" s="9" t="s">
        <v>100</v>
      </c>
      <c r="H127" s="7" t="n">
        <v>11</v>
      </c>
      <c r="I127" s="10" t="n">
        <v>270</v>
      </c>
      <c r="J127" s="10" t="n">
        <v>220</v>
      </c>
      <c r="K127" s="7" t="n">
        <v>9</v>
      </c>
      <c r="L127" s="7" t="s">
        <v>26</v>
      </c>
      <c r="M127" s="10" t="n">
        <v>2970</v>
      </c>
      <c r="N127" s="10" t="n">
        <v>550</v>
      </c>
    </row>
    <row r="128" customFormat="false" ht="15" hidden="false" customHeight="true" outlineLevel="0" collapsed="false">
      <c r="A128" s="3" t="s">
        <v>224</v>
      </c>
      <c r="B128" s="4" t="n">
        <v>44759</v>
      </c>
      <c r="C128" s="3" t="s">
        <v>28</v>
      </c>
      <c r="D128" s="3" t="s">
        <v>29</v>
      </c>
      <c r="E128" s="3" t="s">
        <v>39</v>
      </c>
      <c r="F128" s="3" t="s">
        <v>161</v>
      </c>
      <c r="G128" s="5" t="s">
        <v>162</v>
      </c>
      <c r="H128" s="3" t="n">
        <v>5</v>
      </c>
      <c r="I128" s="6" t="n">
        <v>421</v>
      </c>
      <c r="J128" s="6" t="n">
        <v>350</v>
      </c>
      <c r="K128" s="3" t="n">
        <v>22</v>
      </c>
      <c r="L128" s="3" t="s">
        <v>26</v>
      </c>
      <c r="M128" s="6" t="n">
        <v>2105</v>
      </c>
      <c r="N128" s="6" t="n">
        <v>355</v>
      </c>
    </row>
    <row r="129" customFormat="false" ht="15" hidden="false" customHeight="true" outlineLevel="0" collapsed="false">
      <c r="A129" s="7" t="s">
        <v>225</v>
      </c>
      <c r="B129" s="8" t="n">
        <v>44759</v>
      </c>
      <c r="C129" s="7" t="s">
        <v>58</v>
      </c>
      <c r="D129" s="7" t="s">
        <v>48</v>
      </c>
      <c r="E129" s="7" t="s">
        <v>17</v>
      </c>
      <c r="F129" s="7" t="s">
        <v>66</v>
      </c>
      <c r="G129" s="9" t="s">
        <v>67</v>
      </c>
      <c r="H129" s="7" t="n">
        <v>1</v>
      </c>
      <c r="I129" s="10" t="n">
        <v>501</v>
      </c>
      <c r="J129" s="10" t="n">
        <v>350</v>
      </c>
      <c r="K129" s="7" t="n">
        <v>24</v>
      </c>
      <c r="L129" s="7" t="s">
        <v>26</v>
      </c>
      <c r="M129" s="10" t="n">
        <v>501</v>
      </c>
      <c r="N129" s="10" t="n">
        <v>151</v>
      </c>
    </row>
    <row r="130" customFormat="false" ht="15" hidden="false" customHeight="true" outlineLevel="0" collapsed="false">
      <c r="A130" s="3" t="s">
        <v>226</v>
      </c>
      <c r="B130" s="4" t="n">
        <v>44760</v>
      </c>
      <c r="C130" s="3" t="s">
        <v>47</v>
      </c>
      <c r="D130" s="3" t="s">
        <v>48</v>
      </c>
      <c r="E130" s="3" t="s">
        <v>77</v>
      </c>
      <c r="F130" s="3" t="s">
        <v>180</v>
      </c>
      <c r="G130" s="5" t="s">
        <v>181</v>
      </c>
      <c r="H130" s="3" t="n">
        <v>9</v>
      </c>
      <c r="I130" s="6" t="n">
        <v>255</v>
      </c>
      <c r="J130" s="6" t="n">
        <v>180</v>
      </c>
      <c r="K130" s="3" t="n">
        <v>18</v>
      </c>
      <c r="L130" s="3" t="s">
        <v>26</v>
      </c>
      <c r="M130" s="6" t="n">
        <v>2295</v>
      </c>
      <c r="N130" s="6" t="n">
        <v>675</v>
      </c>
    </row>
    <row r="131" customFormat="false" ht="15" hidden="false" customHeight="true" outlineLevel="0" collapsed="false">
      <c r="A131" s="7" t="s">
        <v>227</v>
      </c>
      <c r="B131" s="8" t="n">
        <v>44763</v>
      </c>
      <c r="C131" s="7" t="s">
        <v>34</v>
      </c>
      <c r="D131" s="7" t="s">
        <v>35</v>
      </c>
      <c r="E131" s="7" t="s">
        <v>39</v>
      </c>
      <c r="F131" s="7" t="s">
        <v>143</v>
      </c>
      <c r="G131" s="9" t="s">
        <v>144</v>
      </c>
      <c r="H131" s="7" t="n">
        <v>13</v>
      </c>
      <c r="I131" s="10" t="n">
        <v>333</v>
      </c>
      <c r="J131" s="10" t="n">
        <v>280</v>
      </c>
      <c r="K131" s="7" t="n">
        <v>17</v>
      </c>
      <c r="L131" s="7" t="s">
        <v>26</v>
      </c>
      <c r="M131" s="10" t="n">
        <v>4329</v>
      </c>
      <c r="N131" s="10" t="n">
        <v>689</v>
      </c>
    </row>
    <row r="132" customFormat="false" ht="15" hidden="false" customHeight="true" outlineLevel="0" collapsed="false">
      <c r="A132" s="3" t="s">
        <v>228</v>
      </c>
      <c r="B132" s="4" t="n">
        <v>44765</v>
      </c>
      <c r="C132" s="3" t="s">
        <v>47</v>
      </c>
      <c r="D132" s="3" t="s">
        <v>48</v>
      </c>
      <c r="E132" s="3" t="s">
        <v>62</v>
      </c>
      <c r="F132" s="3" t="s">
        <v>63</v>
      </c>
      <c r="G132" s="5" t="s">
        <v>64</v>
      </c>
      <c r="H132" s="3" t="n">
        <v>13</v>
      </c>
      <c r="I132" s="6" t="n">
        <v>78</v>
      </c>
      <c r="J132" s="6" t="n">
        <v>60</v>
      </c>
      <c r="K132" s="3" t="n">
        <v>49</v>
      </c>
      <c r="L132" s="3" t="s">
        <v>26</v>
      </c>
      <c r="M132" s="6" t="n">
        <v>1014</v>
      </c>
      <c r="N132" s="6" t="n">
        <v>234</v>
      </c>
    </row>
    <row r="133" customFormat="false" ht="15" hidden="false" customHeight="true" outlineLevel="0" collapsed="false">
      <c r="A133" s="7" t="s">
        <v>229</v>
      </c>
      <c r="B133" s="8" t="n">
        <v>44765</v>
      </c>
      <c r="C133" s="7" t="s">
        <v>22</v>
      </c>
      <c r="D133" s="7" t="s">
        <v>16</v>
      </c>
      <c r="E133" s="7" t="s">
        <v>17</v>
      </c>
      <c r="F133" s="7" t="s">
        <v>66</v>
      </c>
      <c r="G133" s="9" t="s">
        <v>67</v>
      </c>
      <c r="H133" s="7" t="n">
        <v>6</v>
      </c>
      <c r="I133" s="10" t="n">
        <v>504</v>
      </c>
      <c r="J133" s="10" t="n">
        <v>350</v>
      </c>
      <c r="K133" s="7" t="n">
        <v>29</v>
      </c>
      <c r="L133" s="7" t="s">
        <v>20</v>
      </c>
      <c r="M133" s="10" t="n">
        <v>3024</v>
      </c>
      <c r="N133" s="10" t="n">
        <v>924</v>
      </c>
    </row>
    <row r="134" customFormat="false" ht="15" hidden="false" customHeight="true" outlineLevel="0" collapsed="false">
      <c r="A134" s="3" t="s">
        <v>230</v>
      </c>
      <c r="B134" s="4" t="n">
        <v>44767</v>
      </c>
      <c r="C134" s="3" t="s">
        <v>58</v>
      </c>
      <c r="D134" s="3" t="s">
        <v>48</v>
      </c>
      <c r="E134" s="3" t="s">
        <v>62</v>
      </c>
      <c r="F134" s="3" t="s">
        <v>63</v>
      </c>
      <c r="G134" s="5" t="s">
        <v>64</v>
      </c>
      <c r="H134" s="3" t="n">
        <v>9</v>
      </c>
      <c r="I134" s="6" t="n">
        <v>84</v>
      </c>
      <c r="J134" s="6" t="n">
        <v>60</v>
      </c>
      <c r="K134" s="3" t="n">
        <v>41</v>
      </c>
      <c r="L134" s="3" t="s">
        <v>26</v>
      </c>
      <c r="M134" s="6" t="n">
        <v>756</v>
      </c>
      <c r="N134" s="6" t="n">
        <v>216</v>
      </c>
    </row>
    <row r="135" customFormat="false" ht="15" hidden="false" customHeight="true" outlineLevel="0" collapsed="false">
      <c r="A135" s="7" t="s">
        <v>231</v>
      </c>
      <c r="B135" s="8" t="n">
        <v>44768</v>
      </c>
      <c r="C135" s="7" t="s">
        <v>72</v>
      </c>
      <c r="D135" s="7" t="s">
        <v>35</v>
      </c>
      <c r="E135" s="7" t="s">
        <v>23</v>
      </c>
      <c r="F135" s="7" t="s">
        <v>49</v>
      </c>
      <c r="G135" s="9" t="s">
        <v>50</v>
      </c>
      <c r="H135" s="7" t="n">
        <v>10</v>
      </c>
      <c r="I135" s="10" t="n">
        <v>21955</v>
      </c>
      <c r="J135" s="10" t="n">
        <v>18000</v>
      </c>
      <c r="K135" s="7" t="n">
        <v>22</v>
      </c>
      <c r="L135" s="7" t="s">
        <v>26</v>
      </c>
      <c r="M135" s="10" t="n">
        <v>219550</v>
      </c>
      <c r="N135" s="10" t="n">
        <v>39550</v>
      </c>
    </row>
    <row r="136" customFormat="false" ht="15" hidden="false" customHeight="true" outlineLevel="0" collapsed="false">
      <c r="A136" s="3" t="s">
        <v>232</v>
      </c>
      <c r="B136" s="4" t="n">
        <v>44773</v>
      </c>
      <c r="C136" s="3" t="s">
        <v>136</v>
      </c>
      <c r="D136" s="3" t="s">
        <v>35</v>
      </c>
      <c r="E136" s="3" t="s">
        <v>77</v>
      </c>
      <c r="F136" s="3" t="s">
        <v>129</v>
      </c>
      <c r="G136" s="5" t="s">
        <v>130</v>
      </c>
      <c r="H136" s="3" t="n">
        <v>3</v>
      </c>
      <c r="I136" s="6" t="n">
        <v>168</v>
      </c>
      <c r="J136" s="6" t="n">
        <v>120</v>
      </c>
      <c r="K136" s="3" t="n">
        <v>14</v>
      </c>
      <c r="L136" s="3" t="s">
        <v>26</v>
      </c>
      <c r="M136" s="6" t="n">
        <v>504</v>
      </c>
      <c r="N136" s="6" t="n">
        <v>144</v>
      </c>
    </row>
    <row r="137" customFormat="false" ht="15" hidden="false" customHeight="true" outlineLevel="0" collapsed="false">
      <c r="A137" s="7" t="s">
        <v>233</v>
      </c>
      <c r="B137" s="8" t="n">
        <v>44776</v>
      </c>
      <c r="C137" s="7" t="s">
        <v>94</v>
      </c>
      <c r="D137" s="7" t="s">
        <v>48</v>
      </c>
      <c r="E137" s="7" t="s">
        <v>62</v>
      </c>
      <c r="F137" s="7" t="s">
        <v>69</v>
      </c>
      <c r="G137" s="9" t="s">
        <v>70</v>
      </c>
      <c r="H137" s="7" t="n">
        <v>9</v>
      </c>
      <c r="I137" s="10" t="n">
        <v>69</v>
      </c>
      <c r="J137" s="10" t="n">
        <v>50</v>
      </c>
      <c r="K137" s="7" t="n">
        <v>35</v>
      </c>
      <c r="L137" s="7" t="s">
        <v>26</v>
      </c>
      <c r="M137" s="10" t="n">
        <v>621</v>
      </c>
      <c r="N137" s="10" t="n">
        <v>171</v>
      </c>
    </row>
    <row r="138" customFormat="false" ht="15" hidden="false" customHeight="true" outlineLevel="0" collapsed="false">
      <c r="A138" s="3" t="s">
        <v>234</v>
      </c>
      <c r="B138" s="4" t="n">
        <v>44777</v>
      </c>
      <c r="C138" s="3" t="s">
        <v>28</v>
      </c>
      <c r="D138" s="3" t="s">
        <v>29</v>
      </c>
      <c r="E138" s="3" t="s">
        <v>30</v>
      </c>
      <c r="F138" s="3" t="s">
        <v>118</v>
      </c>
      <c r="G138" s="5" t="s">
        <v>119</v>
      </c>
      <c r="H138" s="3" t="n">
        <v>5</v>
      </c>
      <c r="I138" s="6" t="n">
        <v>391</v>
      </c>
      <c r="J138" s="6" t="n">
        <v>280</v>
      </c>
      <c r="K138" s="3" t="n">
        <v>8</v>
      </c>
      <c r="L138" s="3" t="s">
        <v>20</v>
      </c>
      <c r="M138" s="6" t="n">
        <v>1955</v>
      </c>
      <c r="N138" s="6" t="n">
        <v>555</v>
      </c>
    </row>
    <row r="139" customFormat="false" ht="15" hidden="false" customHeight="true" outlineLevel="0" collapsed="false">
      <c r="A139" s="7" t="s">
        <v>235</v>
      </c>
      <c r="B139" s="8" t="n">
        <v>44781</v>
      </c>
      <c r="C139" s="7" t="s">
        <v>43</v>
      </c>
      <c r="D139" s="7" t="s">
        <v>16</v>
      </c>
      <c r="E139" s="7" t="s">
        <v>39</v>
      </c>
      <c r="F139" s="7" t="s">
        <v>143</v>
      </c>
      <c r="G139" s="9" t="s">
        <v>144</v>
      </c>
      <c r="H139" s="7" t="n">
        <v>7</v>
      </c>
      <c r="I139" s="10" t="n">
        <v>323</v>
      </c>
      <c r="J139" s="10" t="n">
        <v>280</v>
      </c>
      <c r="K139" s="7" t="n">
        <v>16</v>
      </c>
      <c r="L139" s="7" t="s">
        <v>26</v>
      </c>
      <c r="M139" s="10" t="n">
        <v>2261</v>
      </c>
      <c r="N139" s="10" t="n">
        <v>301</v>
      </c>
    </row>
    <row r="140" customFormat="false" ht="15" hidden="false" customHeight="true" outlineLevel="0" collapsed="false">
      <c r="A140" s="3" t="s">
        <v>236</v>
      </c>
      <c r="B140" s="4" t="n">
        <v>44782</v>
      </c>
      <c r="C140" s="3" t="s">
        <v>94</v>
      </c>
      <c r="D140" s="3" t="s">
        <v>48</v>
      </c>
      <c r="E140" s="3" t="s">
        <v>77</v>
      </c>
      <c r="F140" s="3" t="s">
        <v>78</v>
      </c>
      <c r="G140" s="5" t="s">
        <v>79</v>
      </c>
      <c r="H140" s="3" t="n">
        <v>12</v>
      </c>
      <c r="I140" s="6" t="n">
        <v>1189</v>
      </c>
      <c r="J140" s="6" t="n">
        <v>900</v>
      </c>
      <c r="K140" s="3" t="n">
        <v>11</v>
      </c>
      <c r="L140" s="3" t="s">
        <v>26</v>
      </c>
      <c r="M140" s="6" t="n">
        <v>14268</v>
      </c>
      <c r="N140" s="6" t="n">
        <v>3468</v>
      </c>
    </row>
    <row r="141" customFormat="false" ht="15" hidden="false" customHeight="true" outlineLevel="0" collapsed="false">
      <c r="A141" s="7" t="s">
        <v>237</v>
      </c>
      <c r="B141" s="8" t="n">
        <v>44788</v>
      </c>
      <c r="C141" s="7" t="s">
        <v>34</v>
      </c>
      <c r="D141" s="7" t="s">
        <v>35</v>
      </c>
      <c r="E141" s="7" t="s">
        <v>77</v>
      </c>
      <c r="F141" s="7" t="s">
        <v>78</v>
      </c>
      <c r="G141" s="9" t="s">
        <v>79</v>
      </c>
      <c r="H141" s="7" t="n">
        <v>8</v>
      </c>
      <c r="I141" s="10" t="n">
        <v>1260</v>
      </c>
      <c r="J141" s="10" t="n">
        <v>900</v>
      </c>
      <c r="K141" s="7" t="n">
        <v>4</v>
      </c>
      <c r="L141" s="7" t="s">
        <v>26</v>
      </c>
      <c r="M141" s="10" t="n">
        <v>10080</v>
      </c>
      <c r="N141" s="10" t="n">
        <v>2880</v>
      </c>
    </row>
    <row r="142" customFormat="false" ht="15" hidden="false" customHeight="true" outlineLevel="0" collapsed="false">
      <c r="A142" s="3" t="s">
        <v>238</v>
      </c>
      <c r="B142" s="4" t="n">
        <v>44788</v>
      </c>
      <c r="C142" s="3" t="s">
        <v>22</v>
      </c>
      <c r="D142" s="3" t="s">
        <v>16</v>
      </c>
      <c r="E142" s="3" t="s">
        <v>77</v>
      </c>
      <c r="F142" s="3" t="s">
        <v>152</v>
      </c>
      <c r="G142" s="5" t="s">
        <v>153</v>
      </c>
      <c r="H142" s="3" t="n">
        <v>10</v>
      </c>
      <c r="I142" s="6" t="n">
        <v>482</v>
      </c>
      <c r="J142" s="6" t="n">
        <v>350</v>
      </c>
      <c r="K142" s="3" t="n">
        <v>26</v>
      </c>
      <c r="L142" s="3" t="s">
        <v>20</v>
      </c>
      <c r="M142" s="6" t="n">
        <v>4820</v>
      </c>
      <c r="N142" s="6" t="n">
        <v>1320</v>
      </c>
    </row>
    <row r="143" customFormat="false" ht="15" hidden="false" customHeight="true" outlineLevel="0" collapsed="false">
      <c r="A143" s="7" t="s">
        <v>239</v>
      </c>
      <c r="B143" s="8" t="n">
        <v>44789</v>
      </c>
      <c r="C143" s="7" t="s">
        <v>58</v>
      </c>
      <c r="D143" s="7" t="s">
        <v>48</v>
      </c>
      <c r="E143" s="7" t="s">
        <v>62</v>
      </c>
      <c r="F143" s="7" t="s">
        <v>69</v>
      </c>
      <c r="G143" s="9" t="s">
        <v>70</v>
      </c>
      <c r="H143" s="7" t="n">
        <v>2</v>
      </c>
      <c r="I143" s="10" t="n">
        <v>65</v>
      </c>
      <c r="J143" s="10" t="n">
        <v>50</v>
      </c>
      <c r="K143" s="7" t="n">
        <v>0</v>
      </c>
      <c r="L143" s="7" t="s">
        <v>26</v>
      </c>
      <c r="M143" s="10" t="n">
        <v>130</v>
      </c>
      <c r="N143" s="10" t="n">
        <v>30</v>
      </c>
    </row>
    <row r="144" customFormat="false" ht="15" hidden="false" customHeight="true" outlineLevel="0" collapsed="false">
      <c r="A144" s="3" t="s">
        <v>240</v>
      </c>
      <c r="B144" s="4" t="n">
        <v>44789</v>
      </c>
      <c r="C144" s="3" t="s">
        <v>111</v>
      </c>
      <c r="D144" s="3" t="s">
        <v>29</v>
      </c>
      <c r="E144" s="3" t="s">
        <v>17</v>
      </c>
      <c r="F144" s="3" t="s">
        <v>54</v>
      </c>
      <c r="G144" s="5" t="s">
        <v>55</v>
      </c>
      <c r="H144" s="3" t="n">
        <v>10</v>
      </c>
      <c r="I144" s="6" t="n">
        <v>645</v>
      </c>
      <c r="J144" s="6" t="n">
        <v>450</v>
      </c>
      <c r="K144" s="3" t="n">
        <v>18</v>
      </c>
      <c r="L144" s="3" t="s">
        <v>20</v>
      </c>
      <c r="M144" s="6" t="n">
        <v>6450</v>
      </c>
      <c r="N144" s="6" t="n">
        <v>1950</v>
      </c>
    </row>
    <row r="145" customFormat="false" ht="15" hidden="false" customHeight="true" outlineLevel="0" collapsed="false">
      <c r="A145" s="7" t="s">
        <v>241</v>
      </c>
      <c r="B145" s="8" t="n">
        <v>44790</v>
      </c>
      <c r="C145" s="7" t="s">
        <v>43</v>
      </c>
      <c r="D145" s="7" t="s">
        <v>16</v>
      </c>
      <c r="E145" s="7" t="s">
        <v>77</v>
      </c>
      <c r="F145" s="7" t="s">
        <v>180</v>
      </c>
      <c r="G145" s="9" t="s">
        <v>181</v>
      </c>
      <c r="H145" s="7" t="n">
        <v>9</v>
      </c>
      <c r="I145" s="10" t="n">
        <v>239</v>
      </c>
      <c r="J145" s="10" t="n">
        <v>180</v>
      </c>
      <c r="K145" s="7" t="n">
        <v>4</v>
      </c>
      <c r="L145" s="7" t="s">
        <v>26</v>
      </c>
      <c r="M145" s="10" t="n">
        <v>2151</v>
      </c>
      <c r="N145" s="10" t="n">
        <v>531</v>
      </c>
    </row>
    <row r="146" customFormat="false" ht="15" hidden="false" customHeight="true" outlineLevel="0" collapsed="false">
      <c r="A146" s="3" t="s">
        <v>242</v>
      </c>
      <c r="B146" s="4" t="n">
        <v>44792</v>
      </c>
      <c r="C146" s="3" t="s">
        <v>58</v>
      </c>
      <c r="D146" s="3" t="s">
        <v>48</v>
      </c>
      <c r="E146" s="3" t="s">
        <v>77</v>
      </c>
      <c r="F146" s="3" t="s">
        <v>180</v>
      </c>
      <c r="G146" s="5" t="s">
        <v>181</v>
      </c>
      <c r="H146" s="3" t="n">
        <v>4</v>
      </c>
      <c r="I146" s="6" t="n">
        <v>251</v>
      </c>
      <c r="J146" s="6" t="n">
        <v>180</v>
      </c>
      <c r="K146" s="3" t="n">
        <v>23</v>
      </c>
      <c r="L146" s="3" t="s">
        <v>26</v>
      </c>
      <c r="M146" s="6" t="n">
        <v>1004</v>
      </c>
      <c r="N146" s="6" t="n">
        <v>284</v>
      </c>
    </row>
    <row r="147" customFormat="false" ht="15" hidden="false" customHeight="true" outlineLevel="0" collapsed="false">
      <c r="A147" s="7" t="s">
        <v>243</v>
      </c>
      <c r="B147" s="8" t="n">
        <v>44792</v>
      </c>
      <c r="C147" s="7" t="s">
        <v>136</v>
      </c>
      <c r="D147" s="7" t="s">
        <v>35</v>
      </c>
      <c r="E147" s="7" t="s">
        <v>62</v>
      </c>
      <c r="F147" s="7" t="s">
        <v>84</v>
      </c>
      <c r="G147" s="9" t="s">
        <v>85</v>
      </c>
      <c r="H147" s="7" t="n">
        <v>8</v>
      </c>
      <c r="I147" s="10" t="n">
        <v>454</v>
      </c>
      <c r="J147" s="10" t="n">
        <v>350</v>
      </c>
      <c r="K147" s="7" t="n">
        <v>47</v>
      </c>
      <c r="L147" s="7" t="s">
        <v>26</v>
      </c>
      <c r="M147" s="10" t="n">
        <v>3632</v>
      </c>
      <c r="N147" s="10" t="n">
        <v>832</v>
      </c>
    </row>
    <row r="148" customFormat="false" ht="15" hidden="false" customHeight="true" outlineLevel="0" collapsed="false">
      <c r="A148" s="3" t="s">
        <v>244</v>
      </c>
      <c r="B148" s="4" t="n">
        <v>44795</v>
      </c>
      <c r="C148" s="3" t="s">
        <v>136</v>
      </c>
      <c r="D148" s="3" t="s">
        <v>35</v>
      </c>
      <c r="E148" s="3" t="s">
        <v>30</v>
      </c>
      <c r="F148" s="3" t="s">
        <v>87</v>
      </c>
      <c r="G148" s="5" t="s">
        <v>88</v>
      </c>
      <c r="H148" s="3" t="n">
        <v>15</v>
      </c>
      <c r="I148" s="6" t="n">
        <v>1043</v>
      </c>
      <c r="J148" s="6" t="n">
        <v>700</v>
      </c>
      <c r="K148" s="3" t="n">
        <v>49</v>
      </c>
      <c r="L148" s="3" t="s">
        <v>20</v>
      </c>
      <c r="M148" s="6" t="n">
        <v>15645</v>
      </c>
      <c r="N148" s="6" t="n">
        <v>5145</v>
      </c>
    </row>
    <row r="149" customFormat="false" ht="15" hidden="false" customHeight="true" outlineLevel="0" collapsed="false">
      <c r="A149" s="7" t="s">
        <v>245</v>
      </c>
      <c r="B149" s="8" t="n">
        <v>44795</v>
      </c>
      <c r="C149" s="7" t="s">
        <v>22</v>
      </c>
      <c r="D149" s="7" t="s">
        <v>16</v>
      </c>
      <c r="E149" s="7" t="s">
        <v>23</v>
      </c>
      <c r="F149" s="7" t="s">
        <v>49</v>
      </c>
      <c r="G149" s="9" t="s">
        <v>50</v>
      </c>
      <c r="H149" s="7" t="n">
        <v>5</v>
      </c>
      <c r="I149" s="10" t="n">
        <v>21253</v>
      </c>
      <c r="J149" s="10" t="n">
        <v>18000</v>
      </c>
      <c r="K149" s="7" t="n">
        <v>10</v>
      </c>
      <c r="L149" s="7" t="s">
        <v>26</v>
      </c>
      <c r="M149" s="10" t="n">
        <v>106265</v>
      </c>
      <c r="N149" s="10" t="n">
        <v>16265</v>
      </c>
    </row>
    <row r="150" customFormat="false" ht="15" hidden="false" customHeight="true" outlineLevel="0" collapsed="false">
      <c r="A150" s="3" t="s">
        <v>246</v>
      </c>
      <c r="B150" s="4" t="n">
        <v>44797</v>
      </c>
      <c r="C150" s="3" t="s">
        <v>15</v>
      </c>
      <c r="D150" s="3" t="s">
        <v>16</v>
      </c>
      <c r="E150" s="3" t="s">
        <v>39</v>
      </c>
      <c r="F150" s="3" t="s">
        <v>220</v>
      </c>
      <c r="G150" s="5" t="s">
        <v>221</v>
      </c>
      <c r="H150" s="3" t="n">
        <v>9</v>
      </c>
      <c r="I150" s="6" t="n">
        <v>216</v>
      </c>
      <c r="J150" s="6" t="n">
        <v>180</v>
      </c>
      <c r="K150" s="3" t="n">
        <v>40</v>
      </c>
      <c r="L150" s="3" t="s">
        <v>26</v>
      </c>
      <c r="M150" s="6" t="n">
        <v>1944</v>
      </c>
      <c r="N150" s="6" t="n">
        <v>324</v>
      </c>
    </row>
    <row r="151" customFormat="false" ht="15" hidden="false" customHeight="true" outlineLevel="0" collapsed="false">
      <c r="A151" s="7" t="s">
        <v>247</v>
      </c>
      <c r="B151" s="8" t="n">
        <v>44799</v>
      </c>
      <c r="C151" s="7" t="s">
        <v>111</v>
      </c>
      <c r="D151" s="7" t="s">
        <v>29</v>
      </c>
      <c r="E151" s="7" t="s">
        <v>17</v>
      </c>
      <c r="F151" s="7" t="s">
        <v>18</v>
      </c>
      <c r="G151" s="9" t="s">
        <v>19</v>
      </c>
      <c r="H151" s="7" t="n">
        <v>3</v>
      </c>
      <c r="I151" s="10" t="n">
        <v>1320</v>
      </c>
      <c r="J151" s="10" t="n">
        <v>900</v>
      </c>
      <c r="K151" s="7" t="n">
        <v>0</v>
      </c>
      <c r="L151" s="7" t="s">
        <v>20</v>
      </c>
      <c r="M151" s="10" t="n">
        <v>3960</v>
      </c>
      <c r="N151" s="10" t="n">
        <v>1260</v>
      </c>
    </row>
    <row r="152" customFormat="false" ht="15" hidden="false" customHeight="true" outlineLevel="0" collapsed="false">
      <c r="A152" s="3" t="s">
        <v>248</v>
      </c>
      <c r="B152" s="4" t="n">
        <v>44800</v>
      </c>
      <c r="C152" s="3" t="s">
        <v>94</v>
      </c>
      <c r="D152" s="3" t="s">
        <v>48</v>
      </c>
      <c r="E152" s="3" t="s">
        <v>30</v>
      </c>
      <c r="F152" s="3" t="s">
        <v>36</v>
      </c>
      <c r="G152" s="5" t="s">
        <v>37</v>
      </c>
      <c r="H152" s="3" t="n">
        <v>9</v>
      </c>
      <c r="I152" s="6" t="n">
        <v>674</v>
      </c>
      <c r="J152" s="6" t="n">
        <v>450</v>
      </c>
      <c r="K152" s="3" t="n">
        <v>43</v>
      </c>
      <c r="L152" s="3" t="s">
        <v>26</v>
      </c>
      <c r="M152" s="6" t="n">
        <v>6066</v>
      </c>
      <c r="N152" s="6" t="n">
        <v>2016</v>
      </c>
    </row>
    <row r="153" customFormat="false" ht="15" hidden="false" customHeight="true" outlineLevel="0" collapsed="false">
      <c r="A153" s="7" t="s">
        <v>249</v>
      </c>
      <c r="B153" s="8" t="n">
        <v>44804</v>
      </c>
      <c r="C153" s="7" t="s">
        <v>34</v>
      </c>
      <c r="D153" s="7" t="s">
        <v>35</v>
      </c>
      <c r="E153" s="7" t="s">
        <v>77</v>
      </c>
      <c r="F153" s="7" t="s">
        <v>81</v>
      </c>
      <c r="G153" s="9" t="s">
        <v>82</v>
      </c>
      <c r="H153" s="7" t="n">
        <v>9</v>
      </c>
      <c r="I153" s="10" t="n">
        <v>816</v>
      </c>
      <c r="J153" s="10" t="n">
        <v>600</v>
      </c>
      <c r="K153" s="7" t="n">
        <v>45</v>
      </c>
      <c r="L153" s="7" t="s">
        <v>26</v>
      </c>
      <c r="M153" s="10" t="n">
        <v>7344</v>
      </c>
      <c r="N153" s="10" t="n">
        <v>1944</v>
      </c>
    </row>
    <row r="154" customFormat="false" ht="15" hidden="false" customHeight="true" outlineLevel="0" collapsed="false">
      <c r="A154" s="3" t="s">
        <v>250</v>
      </c>
      <c r="B154" s="4" t="n">
        <v>44805</v>
      </c>
      <c r="C154" s="3" t="s">
        <v>58</v>
      </c>
      <c r="D154" s="3" t="s">
        <v>48</v>
      </c>
      <c r="E154" s="3" t="s">
        <v>77</v>
      </c>
      <c r="F154" s="3" t="s">
        <v>81</v>
      </c>
      <c r="G154" s="5" t="s">
        <v>82</v>
      </c>
      <c r="H154" s="3" t="n">
        <v>15</v>
      </c>
      <c r="I154" s="6" t="n">
        <v>806</v>
      </c>
      <c r="J154" s="6" t="n">
        <v>600</v>
      </c>
      <c r="K154" s="3" t="n">
        <v>1</v>
      </c>
      <c r="L154" s="3" t="s">
        <v>26</v>
      </c>
      <c r="M154" s="6" t="n">
        <v>12090</v>
      </c>
      <c r="N154" s="6" t="n">
        <v>3090</v>
      </c>
    </row>
    <row r="155" customFormat="false" ht="15" hidden="false" customHeight="true" outlineLevel="0" collapsed="false">
      <c r="A155" s="7" t="s">
        <v>251</v>
      </c>
      <c r="B155" s="8" t="n">
        <v>44806</v>
      </c>
      <c r="C155" s="7" t="s">
        <v>47</v>
      </c>
      <c r="D155" s="7" t="s">
        <v>48</v>
      </c>
      <c r="E155" s="7" t="s">
        <v>23</v>
      </c>
      <c r="F155" s="7" t="s">
        <v>49</v>
      </c>
      <c r="G155" s="9" t="s">
        <v>50</v>
      </c>
      <c r="H155" s="7" t="n">
        <v>4</v>
      </c>
      <c r="I155" s="10" t="n">
        <v>22518</v>
      </c>
      <c r="J155" s="10" t="n">
        <v>18000</v>
      </c>
      <c r="K155" s="7" t="n">
        <v>7</v>
      </c>
      <c r="L155" s="7" t="s">
        <v>26</v>
      </c>
      <c r="M155" s="10" t="n">
        <v>90072</v>
      </c>
      <c r="N155" s="10" t="n">
        <v>18072</v>
      </c>
    </row>
    <row r="156" customFormat="false" ht="15" hidden="false" customHeight="true" outlineLevel="0" collapsed="false">
      <c r="A156" s="3" t="s">
        <v>252</v>
      </c>
      <c r="B156" s="4" t="n">
        <v>44806</v>
      </c>
      <c r="C156" s="3" t="s">
        <v>136</v>
      </c>
      <c r="D156" s="3" t="s">
        <v>35</v>
      </c>
      <c r="E156" s="3" t="s">
        <v>62</v>
      </c>
      <c r="F156" s="3" t="s">
        <v>103</v>
      </c>
      <c r="G156" s="5" t="s">
        <v>104</v>
      </c>
      <c r="H156" s="3" t="n">
        <v>15</v>
      </c>
      <c r="I156" s="6" t="n">
        <v>120</v>
      </c>
      <c r="J156" s="6" t="n">
        <v>90</v>
      </c>
      <c r="K156" s="3" t="n">
        <v>18</v>
      </c>
      <c r="L156" s="3" t="s">
        <v>20</v>
      </c>
      <c r="M156" s="6" t="n">
        <v>1800</v>
      </c>
      <c r="N156" s="6" t="n">
        <v>450</v>
      </c>
    </row>
    <row r="157" customFormat="false" ht="15" hidden="false" customHeight="true" outlineLevel="0" collapsed="false">
      <c r="A157" s="7" t="s">
        <v>253</v>
      </c>
      <c r="B157" s="8" t="n">
        <v>44806</v>
      </c>
      <c r="C157" s="7" t="s">
        <v>136</v>
      </c>
      <c r="D157" s="7" t="s">
        <v>35</v>
      </c>
      <c r="E157" s="7" t="s">
        <v>77</v>
      </c>
      <c r="F157" s="7" t="s">
        <v>152</v>
      </c>
      <c r="G157" s="9" t="s">
        <v>153</v>
      </c>
      <c r="H157" s="7" t="n">
        <v>10</v>
      </c>
      <c r="I157" s="10" t="n">
        <v>506</v>
      </c>
      <c r="J157" s="10" t="n">
        <v>350</v>
      </c>
      <c r="K157" s="7" t="n">
        <v>34</v>
      </c>
      <c r="L157" s="7" t="s">
        <v>26</v>
      </c>
      <c r="M157" s="10" t="n">
        <v>5060</v>
      </c>
      <c r="N157" s="10" t="n">
        <v>1560</v>
      </c>
    </row>
    <row r="158" customFormat="false" ht="15" hidden="false" customHeight="true" outlineLevel="0" collapsed="false">
      <c r="A158" s="3" t="s">
        <v>254</v>
      </c>
      <c r="B158" s="4" t="n">
        <v>44808</v>
      </c>
      <c r="C158" s="3" t="s">
        <v>136</v>
      </c>
      <c r="D158" s="3" t="s">
        <v>35</v>
      </c>
      <c r="E158" s="3" t="s">
        <v>39</v>
      </c>
      <c r="F158" s="3" t="s">
        <v>161</v>
      </c>
      <c r="G158" s="5" t="s">
        <v>162</v>
      </c>
      <c r="H158" s="3" t="n">
        <v>15</v>
      </c>
      <c r="I158" s="6" t="n">
        <v>419</v>
      </c>
      <c r="J158" s="6" t="n">
        <v>350</v>
      </c>
      <c r="K158" s="3" t="n">
        <v>3</v>
      </c>
      <c r="L158" s="3" t="s">
        <v>26</v>
      </c>
      <c r="M158" s="6" t="n">
        <v>6285</v>
      </c>
      <c r="N158" s="6" t="n">
        <v>1035</v>
      </c>
    </row>
    <row r="159" customFormat="false" ht="15" hidden="false" customHeight="true" outlineLevel="0" collapsed="false">
      <c r="A159" s="7" t="s">
        <v>255</v>
      </c>
      <c r="B159" s="8" t="n">
        <v>44810</v>
      </c>
      <c r="C159" s="7" t="s">
        <v>52</v>
      </c>
      <c r="D159" s="7" t="s">
        <v>29</v>
      </c>
      <c r="E159" s="7" t="s">
        <v>30</v>
      </c>
      <c r="F159" s="7" t="s">
        <v>31</v>
      </c>
      <c r="G159" s="9" t="s">
        <v>32</v>
      </c>
      <c r="H159" s="7" t="n">
        <v>10</v>
      </c>
      <c r="I159" s="10" t="n">
        <v>1762</v>
      </c>
      <c r="J159" s="10" t="n">
        <v>1200</v>
      </c>
      <c r="K159" s="7" t="n">
        <v>15</v>
      </c>
      <c r="L159" s="7" t="s">
        <v>26</v>
      </c>
      <c r="M159" s="10" t="n">
        <v>17620</v>
      </c>
      <c r="N159" s="10" t="n">
        <v>5620</v>
      </c>
    </row>
    <row r="160" customFormat="false" ht="15" hidden="false" customHeight="true" outlineLevel="0" collapsed="false">
      <c r="A160" s="3" t="s">
        <v>256</v>
      </c>
      <c r="B160" s="4" t="n">
        <v>44810</v>
      </c>
      <c r="C160" s="3" t="s">
        <v>136</v>
      </c>
      <c r="D160" s="3" t="s">
        <v>35</v>
      </c>
      <c r="E160" s="3" t="s">
        <v>17</v>
      </c>
      <c r="F160" s="3" t="s">
        <v>18</v>
      </c>
      <c r="G160" s="5" t="s">
        <v>19</v>
      </c>
      <c r="H160" s="3" t="n">
        <v>7</v>
      </c>
      <c r="I160" s="6" t="n">
        <v>1234</v>
      </c>
      <c r="J160" s="6" t="n">
        <v>900</v>
      </c>
      <c r="K160" s="3" t="n">
        <v>41</v>
      </c>
      <c r="L160" s="3" t="s">
        <v>20</v>
      </c>
      <c r="M160" s="6" t="n">
        <v>8638</v>
      </c>
      <c r="N160" s="6" t="n">
        <v>2338</v>
      </c>
    </row>
    <row r="161" customFormat="false" ht="15" hidden="false" customHeight="true" outlineLevel="0" collapsed="false">
      <c r="A161" s="7" t="s">
        <v>257</v>
      </c>
      <c r="B161" s="8" t="n">
        <v>44811</v>
      </c>
      <c r="C161" s="7" t="s">
        <v>52</v>
      </c>
      <c r="D161" s="7" t="s">
        <v>29</v>
      </c>
      <c r="E161" s="7" t="s">
        <v>23</v>
      </c>
      <c r="F161" s="7" t="s">
        <v>204</v>
      </c>
      <c r="G161" s="9" t="s">
        <v>205</v>
      </c>
      <c r="H161" s="7" t="n">
        <v>10</v>
      </c>
      <c r="I161" s="10" t="n">
        <v>2227</v>
      </c>
      <c r="J161" s="10" t="n">
        <v>1800</v>
      </c>
      <c r="K161" s="7" t="n">
        <v>9</v>
      </c>
      <c r="L161" s="7" t="s">
        <v>26</v>
      </c>
      <c r="M161" s="10" t="n">
        <v>22270</v>
      </c>
      <c r="N161" s="10" t="n">
        <v>4270</v>
      </c>
    </row>
    <row r="162" customFormat="false" ht="15" hidden="false" customHeight="true" outlineLevel="0" collapsed="false">
      <c r="A162" s="3" t="s">
        <v>258</v>
      </c>
      <c r="B162" s="4" t="n">
        <v>44813</v>
      </c>
      <c r="C162" s="3" t="s">
        <v>28</v>
      </c>
      <c r="D162" s="3" t="s">
        <v>29</v>
      </c>
      <c r="E162" s="3" t="s">
        <v>17</v>
      </c>
      <c r="F162" s="3" t="s">
        <v>54</v>
      </c>
      <c r="G162" s="5" t="s">
        <v>55</v>
      </c>
      <c r="H162" s="3" t="n">
        <v>12</v>
      </c>
      <c r="I162" s="6" t="n">
        <v>626</v>
      </c>
      <c r="J162" s="6" t="n">
        <v>450</v>
      </c>
      <c r="K162" s="3" t="n">
        <v>23</v>
      </c>
      <c r="L162" s="3" t="s">
        <v>26</v>
      </c>
      <c r="M162" s="6" t="n">
        <v>7512</v>
      </c>
      <c r="N162" s="6" t="n">
        <v>2112</v>
      </c>
    </row>
    <row r="163" customFormat="false" ht="15" hidden="false" customHeight="true" outlineLevel="0" collapsed="false">
      <c r="A163" s="7" t="s">
        <v>259</v>
      </c>
      <c r="B163" s="8" t="n">
        <v>44813</v>
      </c>
      <c r="C163" s="7" t="s">
        <v>94</v>
      </c>
      <c r="D163" s="7" t="s">
        <v>48</v>
      </c>
      <c r="E163" s="7" t="s">
        <v>77</v>
      </c>
      <c r="F163" s="7" t="s">
        <v>78</v>
      </c>
      <c r="G163" s="9" t="s">
        <v>79</v>
      </c>
      <c r="H163" s="7" t="n">
        <v>4</v>
      </c>
      <c r="I163" s="10" t="n">
        <v>1217</v>
      </c>
      <c r="J163" s="10" t="n">
        <v>900</v>
      </c>
      <c r="K163" s="7" t="n">
        <v>20</v>
      </c>
      <c r="L163" s="7" t="s">
        <v>26</v>
      </c>
      <c r="M163" s="10" t="n">
        <v>4868</v>
      </c>
      <c r="N163" s="10" t="n">
        <v>1268</v>
      </c>
    </row>
    <row r="164" customFormat="false" ht="15" hidden="false" customHeight="true" outlineLevel="0" collapsed="false">
      <c r="A164" s="3" t="s">
        <v>260</v>
      </c>
      <c r="B164" s="4" t="n">
        <v>44814</v>
      </c>
      <c r="C164" s="3" t="s">
        <v>111</v>
      </c>
      <c r="D164" s="3" t="s">
        <v>29</v>
      </c>
      <c r="E164" s="3" t="s">
        <v>39</v>
      </c>
      <c r="F164" s="3" t="s">
        <v>220</v>
      </c>
      <c r="G164" s="5" t="s">
        <v>221</v>
      </c>
      <c r="H164" s="3" t="n">
        <v>13</v>
      </c>
      <c r="I164" s="6" t="n">
        <v>208</v>
      </c>
      <c r="J164" s="6" t="n">
        <v>180</v>
      </c>
      <c r="K164" s="3" t="n">
        <v>29</v>
      </c>
      <c r="L164" s="3" t="s">
        <v>20</v>
      </c>
      <c r="M164" s="6" t="n">
        <v>2704</v>
      </c>
      <c r="N164" s="6" t="n">
        <v>364</v>
      </c>
    </row>
    <row r="165" customFormat="false" ht="15" hidden="false" customHeight="true" outlineLevel="0" collapsed="false">
      <c r="A165" s="7" t="s">
        <v>261</v>
      </c>
      <c r="B165" s="8" t="n">
        <v>44815</v>
      </c>
      <c r="C165" s="7" t="s">
        <v>111</v>
      </c>
      <c r="D165" s="7" t="s">
        <v>29</v>
      </c>
      <c r="E165" s="7" t="s">
        <v>77</v>
      </c>
      <c r="F165" s="7" t="s">
        <v>129</v>
      </c>
      <c r="G165" s="9" t="s">
        <v>130</v>
      </c>
      <c r="H165" s="7" t="n">
        <v>13</v>
      </c>
      <c r="I165" s="10" t="n">
        <v>172</v>
      </c>
      <c r="J165" s="10" t="n">
        <v>120</v>
      </c>
      <c r="K165" s="7" t="n">
        <v>48</v>
      </c>
      <c r="L165" s="7" t="s">
        <v>20</v>
      </c>
      <c r="M165" s="10" t="n">
        <v>2236</v>
      </c>
      <c r="N165" s="10" t="n">
        <v>676</v>
      </c>
    </row>
    <row r="166" customFormat="false" ht="15" hidden="false" customHeight="true" outlineLevel="0" collapsed="false">
      <c r="A166" s="3" t="s">
        <v>262</v>
      </c>
      <c r="B166" s="4" t="n">
        <v>44815</v>
      </c>
      <c r="C166" s="3" t="s">
        <v>72</v>
      </c>
      <c r="D166" s="3" t="s">
        <v>35</v>
      </c>
      <c r="E166" s="3" t="s">
        <v>77</v>
      </c>
      <c r="F166" s="3" t="s">
        <v>152</v>
      </c>
      <c r="G166" s="5" t="s">
        <v>153</v>
      </c>
      <c r="H166" s="3" t="n">
        <v>3</v>
      </c>
      <c r="I166" s="6" t="n">
        <v>493</v>
      </c>
      <c r="J166" s="6" t="n">
        <v>350</v>
      </c>
      <c r="K166" s="3" t="n">
        <v>15</v>
      </c>
      <c r="L166" s="3" t="s">
        <v>20</v>
      </c>
      <c r="M166" s="6" t="n">
        <v>1479</v>
      </c>
      <c r="N166" s="6" t="n">
        <v>429</v>
      </c>
    </row>
    <row r="167" customFormat="false" ht="15" hidden="false" customHeight="true" outlineLevel="0" collapsed="false">
      <c r="A167" s="7" t="s">
        <v>263</v>
      </c>
      <c r="B167" s="8" t="n">
        <v>44816</v>
      </c>
      <c r="C167" s="7" t="s">
        <v>43</v>
      </c>
      <c r="D167" s="7" t="s">
        <v>16</v>
      </c>
      <c r="E167" s="7" t="s">
        <v>17</v>
      </c>
      <c r="F167" s="7" t="s">
        <v>18</v>
      </c>
      <c r="G167" s="9" t="s">
        <v>19</v>
      </c>
      <c r="H167" s="7" t="n">
        <v>15</v>
      </c>
      <c r="I167" s="10" t="n">
        <v>1220</v>
      </c>
      <c r="J167" s="10" t="n">
        <v>900</v>
      </c>
      <c r="K167" s="7" t="n">
        <v>32</v>
      </c>
      <c r="L167" s="7" t="s">
        <v>26</v>
      </c>
      <c r="M167" s="10" t="n">
        <v>18300</v>
      </c>
      <c r="N167" s="10" t="n">
        <v>4800</v>
      </c>
    </row>
    <row r="168" customFormat="false" ht="15" hidden="false" customHeight="true" outlineLevel="0" collapsed="false">
      <c r="A168" s="3" t="s">
        <v>264</v>
      </c>
      <c r="B168" s="4" t="n">
        <v>44816</v>
      </c>
      <c r="C168" s="3" t="s">
        <v>58</v>
      </c>
      <c r="D168" s="3" t="s">
        <v>48</v>
      </c>
      <c r="E168" s="3" t="s">
        <v>62</v>
      </c>
      <c r="F168" s="3" t="s">
        <v>96</v>
      </c>
      <c r="G168" s="5" t="s">
        <v>97</v>
      </c>
      <c r="H168" s="3" t="n">
        <v>14</v>
      </c>
      <c r="I168" s="6" t="n">
        <v>105</v>
      </c>
      <c r="J168" s="6" t="n">
        <v>80</v>
      </c>
      <c r="K168" s="3" t="n">
        <v>3</v>
      </c>
      <c r="L168" s="3" t="s">
        <v>26</v>
      </c>
      <c r="M168" s="6" t="n">
        <v>1470</v>
      </c>
      <c r="N168" s="6" t="n">
        <v>350</v>
      </c>
    </row>
    <row r="169" customFormat="false" ht="15" hidden="false" customHeight="true" outlineLevel="0" collapsed="false">
      <c r="A169" s="7" t="s">
        <v>265</v>
      </c>
      <c r="B169" s="8" t="n">
        <v>44820</v>
      </c>
      <c r="C169" s="7" t="s">
        <v>94</v>
      </c>
      <c r="D169" s="7" t="s">
        <v>48</v>
      </c>
      <c r="E169" s="7" t="s">
        <v>23</v>
      </c>
      <c r="F169" s="7" t="s">
        <v>198</v>
      </c>
      <c r="G169" s="9" t="s">
        <v>199</v>
      </c>
      <c r="H169" s="7" t="n">
        <v>2</v>
      </c>
      <c r="I169" s="10" t="n">
        <v>1050</v>
      </c>
      <c r="J169" s="10" t="n">
        <v>900</v>
      </c>
      <c r="K169" s="7" t="n">
        <v>49</v>
      </c>
      <c r="L169" s="7" t="s">
        <v>20</v>
      </c>
      <c r="M169" s="10" t="n">
        <v>2100</v>
      </c>
      <c r="N169" s="10" t="n">
        <v>300</v>
      </c>
    </row>
    <row r="170" customFormat="false" ht="15" hidden="false" customHeight="true" outlineLevel="0" collapsed="false">
      <c r="A170" s="3" t="s">
        <v>266</v>
      </c>
      <c r="B170" s="4" t="n">
        <v>44824</v>
      </c>
      <c r="C170" s="3" t="s">
        <v>28</v>
      </c>
      <c r="D170" s="3" t="s">
        <v>29</v>
      </c>
      <c r="E170" s="3" t="s">
        <v>30</v>
      </c>
      <c r="F170" s="3" t="s">
        <v>87</v>
      </c>
      <c r="G170" s="5" t="s">
        <v>88</v>
      </c>
      <c r="H170" s="3" t="n">
        <v>14</v>
      </c>
      <c r="I170" s="6" t="n">
        <v>1000</v>
      </c>
      <c r="J170" s="6" t="n">
        <v>700</v>
      </c>
      <c r="K170" s="3" t="n">
        <v>2</v>
      </c>
      <c r="L170" s="3" t="s">
        <v>26</v>
      </c>
      <c r="M170" s="6" t="n">
        <v>14000</v>
      </c>
      <c r="N170" s="6" t="n">
        <v>4200</v>
      </c>
    </row>
    <row r="171" customFormat="false" ht="15" hidden="false" customHeight="true" outlineLevel="0" collapsed="false">
      <c r="A171" s="7" t="s">
        <v>267</v>
      </c>
      <c r="B171" s="8" t="n">
        <v>44826</v>
      </c>
      <c r="C171" s="7" t="s">
        <v>47</v>
      </c>
      <c r="D171" s="7" t="s">
        <v>48</v>
      </c>
      <c r="E171" s="7" t="s">
        <v>77</v>
      </c>
      <c r="F171" s="7" t="s">
        <v>78</v>
      </c>
      <c r="G171" s="9" t="s">
        <v>79</v>
      </c>
      <c r="H171" s="7" t="n">
        <v>6</v>
      </c>
      <c r="I171" s="10" t="n">
        <v>1300</v>
      </c>
      <c r="J171" s="10" t="n">
        <v>900</v>
      </c>
      <c r="K171" s="7" t="n">
        <v>0</v>
      </c>
      <c r="L171" s="7" t="s">
        <v>26</v>
      </c>
      <c r="M171" s="10" t="n">
        <v>7800</v>
      </c>
      <c r="N171" s="10" t="n">
        <v>2400</v>
      </c>
    </row>
    <row r="172" customFormat="false" ht="15" hidden="false" customHeight="true" outlineLevel="0" collapsed="false">
      <c r="A172" s="3" t="s">
        <v>268</v>
      </c>
      <c r="B172" s="4" t="n">
        <v>44829</v>
      </c>
      <c r="C172" s="3" t="s">
        <v>94</v>
      </c>
      <c r="D172" s="3" t="s">
        <v>48</v>
      </c>
      <c r="E172" s="3" t="s">
        <v>62</v>
      </c>
      <c r="F172" s="3" t="s">
        <v>96</v>
      </c>
      <c r="G172" s="5" t="s">
        <v>97</v>
      </c>
      <c r="H172" s="3" t="n">
        <v>7</v>
      </c>
      <c r="I172" s="6" t="n">
        <v>109</v>
      </c>
      <c r="J172" s="6" t="n">
        <v>80</v>
      </c>
      <c r="K172" s="3" t="n">
        <v>42</v>
      </c>
      <c r="L172" s="3" t="s">
        <v>26</v>
      </c>
      <c r="M172" s="6" t="n">
        <v>763</v>
      </c>
      <c r="N172" s="6" t="n">
        <v>203</v>
      </c>
    </row>
    <row r="173" customFormat="false" ht="15" hidden="false" customHeight="true" outlineLevel="0" collapsed="false">
      <c r="A173" s="7" t="s">
        <v>269</v>
      </c>
      <c r="B173" s="8" t="n">
        <v>44832</v>
      </c>
      <c r="C173" s="7" t="s">
        <v>34</v>
      </c>
      <c r="D173" s="7" t="s">
        <v>35</v>
      </c>
      <c r="E173" s="7" t="s">
        <v>39</v>
      </c>
      <c r="F173" s="7" t="s">
        <v>161</v>
      </c>
      <c r="G173" s="9" t="s">
        <v>162</v>
      </c>
      <c r="H173" s="7" t="n">
        <v>8</v>
      </c>
      <c r="I173" s="10" t="n">
        <v>421</v>
      </c>
      <c r="J173" s="10" t="n">
        <v>350</v>
      </c>
      <c r="K173" s="7" t="n">
        <v>49</v>
      </c>
      <c r="L173" s="7" t="s">
        <v>20</v>
      </c>
      <c r="M173" s="10" t="n">
        <v>3368</v>
      </c>
      <c r="N173" s="10" t="n">
        <v>568</v>
      </c>
    </row>
    <row r="174" customFormat="false" ht="15" hidden="false" customHeight="true" outlineLevel="0" collapsed="false">
      <c r="A174" s="3" t="s">
        <v>270</v>
      </c>
      <c r="B174" s="4" t="n">
        <v>44832</v>
      </c>
      <c r="C174" s="3" t="s">
        <v>52</v>
      </c>
      <c r="D174" s="3" t="s">
        <v>29</v>
      </c>
      <c r="E174" s="3" t="s">
        <v>62</v>
      </c>
      <c r="F174" s="3" t="s">
        <v>84</v>
      </c>
      <c r="G174" s="5" t="s">
        <v>85</v>
      </c>
      <c r="H174" s="3" t="n">
        <v>1</v>
      </c>
      <c r="I174" s="6" t="n">
        <v>462</v>
      </c>
      <c r="J174" s="6" t="n">
        <v>350</v>
      </c>
      <c r="K174" s="3" t="n">
        <v>1</v>
      </c>
      <c r="L174" s="3" t="s">
        <v>20</v>
      </c>
      <c r="M174" s="6" t="n">
        <v>462</v>
      </c>
      <c r="N174" s="6" t="n">
        <v>112</v>
      </c>
    </row>
    <row r="175" customFormat="false" ht="15" hidden="false" customHeight="true" outlineLevel="0" collapsed="false">
      <c r="A175" s="7" t="s">
        <v>271</v>
      </c>
      <c r="B175" s="8" t="n">
        <v>44833</v>
      </c>
      <c r="C175" s="7" t="s">
        <v>28</v>
      </c>
      <c r="D175" s="7" t="s">
        <v>29</v>
      </c>
      <c r="E175" s="7" t="s">
        <v>17</v>
      </c>
      <c r="F175" s="7" t="s">
        <v>18</v>
      </c>
      <c r="G175" s="9" t="s">
        <v>19</v>
      </c>
      <c r="H175" s="7" t="n">
        <v>7</v>
      </c>
      <c r="I175" s="10" t="n">
        <v>1288</v>
      </c>
      <c r="J175" s="10" t="n">
        <v>900</v>
      </c>
      <c r="K175" s="7" t="n">
        <v>10</v>
      </c>
      <c r="L175" s="7" t="s">
        <v>26</v>
      </c>
      <c r="M175" s="10" t="n">
        <v>9016</v>
      </c>
      <c r="N175" s="10" t="n">
        <v>2716</v>
      </c>
    </row>
    <row r="176" customFormat="false" ht="15" hidden="false" customHeight="true" outlineLevel="0" collapsed="false">
      <c r="A176" s="3" t="s">
        <v>272</v>
      </c>
      <c r="B176" s="4" t="n">
        <v>44834</v>
      </c>
      <c r="C176" s="3" t="s">
        <v>94</v>
      </c>
      <c r="D176" s="3" t="s">
        <v>48</v>
      </c>
      <c r="E176" s="3" t="s">
        <v>77</v>
      </c>
      <c r="F176" s="3" t="s">
        <v>152</v>
      </c>
      <c r="G176" s="5" t="s">
        <v>153</v>
      </c>
      <c r="H176" s="3" t="n">
        <v>9</v>
      </c>
      <c r="I176" s="6" t="n">
        <v>479</v>
      </c>
      <c r="J176" s="6" t="n">
        <v>350</v>
      </c>
      <c r="K176" s="3" t="n">
        <v>2</v>
      </c>
      <c r="L176" s="3" t="s">
        <v>26</v>
      </c>
      <c r="M176" s="6" t="n">
        <v>4311</v>
      </c>
      <c r="N176" s="6" t="n">
        <v>1161</v>
      </c>
    </row>
    <row r="177" customFormat="false" ht="15" hidden="false" customHeight="true" outlineLevel="0" collapsed="false">
      <c r="A177" s="7" t="s">
        <v>273</v>
      </c>
      <c r="B177" s="8" t="n">
        <v>44835</v>
      </c>
      <c r="C177" s="7" t="s">
        <v>28</v>
      </c>
      <c r="D177" s="7" t="s">
        <v>29</v>
      </c>
      <c r="E177" s="7" t="s">
        <v>39</v>
      </c>
      <c r="F177" s="7" t="s">
        <v>99</v>
      </c>
      <c r="G177" s="9" t="s">
        <v>100</v>
      </c>
      <c r="H177" s="7" t="n">
        <v>1</v>
      </c>
      <c r="I177" s="10" t="n">
        <v>269</v>
      </c>
      <c r="J177" s="10" t="n">
        <v>220</v>
      </c>
      <c r="K177" s="7" t="n">
        <v>49</v>
      </c>
      <c r="L177" s="7" t="s">
        <v>20</v>
      </c>
      <c r="M177" s="10" t="n">
        <v>269</v>
      </c>
      <c r="N177" s="10" t="n">
        <v>49</v>
      </c>
    </row>
    <row r="178" customFormat="false" ht="15" hidden="false" customHeight="true" outlineLevel="0" collapsed="false">
      <c r="A178" s="3" t="s">
        <v>274</v>
      </c>
      <c r="B178" s="4" t="n">
        <v>44835</v>
      </c>
      <c r="C178" s="3" t="s">
        <v>43</v>
      </c>
      <c r="D178" s="3" t="s">
        <v>16</v>
      </c>
      <c r="E178" s="3" t="s">
        <v>17</v>
      </c>
      <c r="F178" s="3" t="s">
        <v>66</v>
      </c>
      <c r="G178" s="5" t="s">
        <v>67</v>
      </c>
      <c r="H178" s="3" t="n">
        <v>1</v>
      </c>
      <c r="I178" s="6" t="n">
        <v>511</v>
      </c>
      <c r="J178" s="6" t="n">
        <v>350</v>
      </c>
      <c r="K178" s="3" t="n">
        <v>30</v>
      </c>
      <c r="L178" s="3" t="s">
        <v>26</v>
      </c>
      <c r="M178" s="6" t="n">
        <v>511</v>
      </c>
      <c r="N178" s="6" t="n">
        <v>161</v>
      </c>
    </row>
    <row r="179" customFormat="false" ht="15" hidden="false" customHeight="true" outlineLevel="0" collapsed="false">
      <c r="A179" s="7" t="s">
        <v>275</v>
      </c>
      <c r="B179" s="8" t="n">
        <v>44838</v>
      </c>
      <c r="C179" s="7" t="s">
        <v>111</v>
      </c>
      <c r="D179" s="7" t="s">
        <v>29</v>
      </c>
      <c r="E179" s="7" t="s">
        <v>39</v>
      </c>
      <c r="F179" s="7" t="s">
        <v>220</v>
      </c>
      <c r="G179" s="9" t="s">
        <v>221</v>
      </c>
      <c r="H179" s="7" t="n">
        <v>7</v>
      </c>
      <c r="I179" s="10" t="n">
        <v>217</v>
      </c>
      <c r="J179" s="10" t="n">
        <v>180</v>
      </c>
      <c r="K179" s="7" t="n">
        <v>39</v>
      </c>
      <c r="L179" s="7" t="s">
        <v>20</v>
      </c>
      <c r="M179" s="10" t="n">
        <v>1519</v>
      </c>
      <c r="N179" s="10" t="n">
        <v>259</v>
      </c>
    </row>
    <row r="180" customFormat="false" ht="15" hidden="false" customHeight="true" outlineLevel="0" collapsed="false">
      <c r="A180" s="3" t="s">
        <v>276</v>
      </c>
      <c r="B180" s="4" t="n">
        <v>44841</v>
      </c>
      <c r="C180" s="3" t="s">
        <v>111</v>
      </c>
      <c r="D180" s="3" t="s">
        <v>29</v>
      </c>
      <c r="E180" s="3" t="s">
        <v>30</v>
      </c>
      <c r="F180" s="3" t="s">
        <v>126</v>
      </c>
      <c r="G180" s="5" t="s">
        <v>127</v>
      </c>
      <c r="H180" s="3" t="n">
        <v>9</v>
      </c>
      <c r="I180" s="6" t="n">
        <v>559</v>
      </c>
      <c r="J180" s="6" t="n">
        <v>400</v>
      </c>
      <c r="K180" s="3" t="n">
        <v>39</v>
      </c>
      <c r="L180" s="3" t="s">
        <v>26</v>
      </c>
      <c r="M180" s="6" t="n">
        <v>5031</v>
      </c>
      <c r="N180" s="6" t="n">
        <v>1431</v>
      </c>
    </row>
    <row r="181" customFormat="false" ht="15" hidden="false" customHeight="true" outlineLevel="0" collapsed="false">
      <c r="A181" s="7" t="s">
        <v>277</v>
      </c>
      <c r="B181" s="8" t="n">
        <v>44842</v>
      </c>
      <c r="C181" s="7" t="s">
        <v>72</v>
      </c>
      <c r="D181" s="7" t="s">
        <v>35</v>
      </c>
      <c r="E181" s="7" t="s">
        <v>77</v>
      </c>
      <c r="F181" s="7" t="s">
        <v>152</v>
      </c>
      <c r="G181" s="9" t="s">
        <v>153</v>
      </c>
      <c r="H181" s="7" t="n">
        <v>8</v>
      </c>
      <c r="I181" s="10" t="n">
        <v>492</v>
      </c>
      <c r="J181" s="10" t="n">
        <v>350</v>
      </c>
      <c r="K181" s="7" t="n">
        <v>36</v>
      </c>
      <c r="L181" s="7" t="s">
        <v>26</v>
      </c>
      <c r="M181" s="10" t="n">
        <v>3936</v>
      </c>
      <c r="N181" s="10" t="n">
        <v>1136</v>
      </c>
    </row>
    <row r="182" customFormat="false" ht="15" hidden="false" customHeight="true" outlineLevel="0" collapsed="false">
      <c r="A182" s="3" t="s">
        <v>278</v>
      </c>
      <c r="B182" s="4" t="n">
        <v>44842</v>
      </c>
      <c r="C182" s="3" t="s">
        <v>52</v>
      </c>
      <c r="D182" s="3" t="s">
        <v>29</v>
      </c>
      <c r="E182" s="3" t="s">
        <v>23</v>
      </c>
      <c r="F182" s="3" t="s">
        <v>24</v>
      </c>
      <c r="G182" s="5" t="s">
        <v>25</v>
      </c>
      <c r="H182" s="3" t="n">
        <v>12</v>
      </c>
      <c r="I182" s="6" t="n">
        <v>414</v>
      </c>
      <c r="J182" s="6" t="n">
        <v>350</v>
      </c>
      <c r="K182" s="3" t="n">
        <v>47</v>
      </c>
      <c r="L182" s="3" t="s">
        <v>26</v>
      </c>
      <c r="M182" s="6" t="n">
        <v>4968</v>
      </c>
      <c r="N182" s="6" t="n">
        <v>768</v>
      </c>
    </row>
    <row r="183" customFormat="false" ht="15" hidden="false" customHeight="true" outlineLevel="0" collapsed="false">
      <c r="A183" s="7" t="s">
        <v>279</v>
      </c>
      <c r="B183" s="8" t="n">
        <v>44843</v>
      </c>
      <c r="C183" s="7" t="s">
        <v>47</v>
      </c>
      <c r="D183" s="7" t="s">
        <v>48</v>
      </c>
      <c r="E183" s="7" t="s">
        <v>39</v>
      </c>
      <c r="F183" s="7" t="s">
        <v>40</v>
      </c>
      <c r="G183" s="9" t="s">
        <v>41</v>
      </c>
      <c r="H183" s="7" t="n">
        <v>8</v>
      </c>
      <c r="I183" s="10" t="n">
        <v>106</v>
      </c>
      <c r="J183" s="10" t="n">
        <v>90</v>
      </c>
      <c r="K183" s="7" t="n">
        <v>46</v>
      </c>
      <c r="L183" s="7" t="s">
        <v>20</v>
      </c>
      <c r="M183" s="10" t="n">
        <v>848</v>
      </c>
      <c r="N183" s="10" t="n">
        <v>128</v>
      </c>
    </row>
    <row r="184" customFormat="false" ht="15" hidden="false" customHeight="true" outlineLevel="0" collapsed="false">
      <c r="A184" s="3" t="s">
        <v>280</v>
      </c>
      <c r="B184" s="4" t="n">
        <v>44845</v>
      </c>
      <c r="C184" s="3" t="s">
        <v>47</v>
      </c>
      <c r="D184" s="3" t="s">
        <v>48</v>
      </c>
      <c r="E184" s="3" t="s">
        <v>77</v>
      </c>
      <c r="F184" s="3" t="s">
        <v>180</v>
      </c>
      <c r="G184" s="5" t="s">
        <v>181</v>
      </c>
      <c r="H184" s="3" t="n">
        <v>5</v>
      </c>
      <c r="I184" s="6" t="n">
        <v>249</v>
      </c>
      <c r="J184" s="6" t="n">
        <v>180</v>
      </c>
      <c r="K184" s="3" t="n">
        <v>11</v>
      </c>
      <c r="L184" s="3" t="s">
        <v>26</v>
      </c>
      <c r="M184" s="6" t="n">
        <v>1245</v>
      </c>
      <c r="N184" s="6" t="n">
        <v>345</v>
      </c>
    </row>
    <row r="185" customFormat="false" ht="15" hidden="false" customHeight="true" outlineLevel="0" collapsed="false">
      <c r="A185" s="7" t="s">
        <v>281</v>
      </c>
      <c r="B185" s="8" t="n">
        <v>44845</v>
      </c>
      <c r="C185" s="7" t="s">
        <v>47</v>
      </c>
      <c r="D185" s="7" t="s">
        <v>48</v>
      </c>
      <c r="E185" s="7" t="s">
        <v>62</v>
      </c>
      <c r="F185" s="7" t="s">
        <v>103</v>
      </c>
      <c r="G185" s="9" t="s">
        <v>104</v>
      </c>
      <c r="H185" s="7" t="n">
        <v>11</v>
      </c>
      <c r="I185" s="10" t="n">
        <v>119</v>
      </c>
      <c r="J185" s="10" t="n">
        <v>90</v>
      </c>
      <c r="K185" s="7" t="n">
        <v>1</v>
      </c>
      <c r="L185" s="7" t="s">
        <v>20</v>
      </c>
      <c r="M185" s="10" t="n">
        <v>1309</v>
      </c>
      <c r="N185" s="10" t="n">
        <v>319</v>
      </c>
    </row>
    <row r="186" customFormat="false" ht="15" hidden="false" customHeight="true" outlineLevel="0" collapsed="false">
      <c r="A186" s="3" t="s">
        <v>282</v>
      </c>
      <c r="B186" s="4" t="n">
        <v>44846</v>
      </c>
      <c r="C186" s="3" t="s">
        <v>52</v>
      </c>
      <c r="D186" s="3" t="s">
        <v>29</v>
      </c>
      <c r="E186" s="3" t="s">
        <v>17</v>
      </c>
      <c r="F186" s="3" t="s">
        <v>44</v>
      </c>
      <c r="G186" s="5" t="s">
        <v>45</v>
      </c>
      <c r="H186" s="3" t="n">
        <v>8</v>
      </c>
      <c r="I186" s="6" t="n">
        <v>335</v>
      </c>
      <c r="J186" s="6" t="n">
        <v>250</v>
      </c>
      <c r="K186" s="3" t="n">
        <v>21</v>
      </c>
      <c r="L186" s="3" t="s">
        <v>26</v>
      </c>
      <c r="M186" s="6" t="n">
        <v>2680</v>
      </c>
      <c r="N186" s="6" t="n">
        <v>680</v>
      </c>
    </row>
    <row r="187" customFormat="false" ht="15" hidden="false" customHeight="true" outlineLevel="0" collapsed="false">
      <c r="A187" s="7" t="s">
        <v>283</v>
      </c>
      <c r="B187" s="8" t="n">
        <v>44847</v>
      </c>
      <c r="C187" s="7" t="s">
        <v>43</v>
      </c>
      <c r="D187" s="7" t="s">
        <v>16</v>
      </c>
      <c r="E187" s="7" t="s">
        <v>77</v>
      </c>
      <c r="F187" s="7" t="s">
        <v>78</v>
      </c>
      <c r="G187" s="9" t="s">
        <v>79</v>
      </c>
      <c r="H187" s="7" t="n">
        <v>2</v>
      </c>
      <c r="I187" s="10" t="n">
        <v>1208</v>
      </c>
      <c r="J187" s="10" t="n">
        <v>900</v>
      </c>
      <c r="K187" s="7" t="n">
        <v>41</v>
      </c>
      <c r="L187" s="7" t="s">
        <v>20</v>
      </c>
      <c r="M187" s="10" t="n">
        <v>2416</v>
      </c>
      <c r="N187" s="10" t="n">
        <v>616</v>
      </c>
    </row>
    <row r="188" customFormat="false" ht="15" hidden="false" customHeight="true" outlineLevel="0" collapsed="false">
      <c r="A188" s="3" t="s">
        <v>284</v>
      </c>
      <c r="B188" s="4" t="n">
        <v>44855</v>
      </c>
      <c r="C188" s="3" t="s">
        <v>15</v>
      </c>
      <c r="D188" s="3" t="s">
        <v>16</v>
      </c>
      <c r="E188" s="3" t="s">
        <v>39</v>
      </c>
      <c r="F188" s="3" t="s">
        <v>99</v>
      </c>
      <c r="G188" s="5" t="s">
        <v>100</v>
      </c>
      <c r="H188" s="3" t="n">
        <v>8</v>
      </c>
      <c r="I188" s="6" t="n">
        <v>249</v>
      </c>
      <c r="J188" s="6" t="n">
        <v>220</v>
      </c>
      <c r="K188" s="3" t="n">
        <v>4</v>
      </c>
      <c r="L188" s="3" t="s">
        <v>26</v>
      </c>
      <c r="M188" s="6" t="n">
        <v>1992</v>
      </c>
      <c r="N188" s="6" t="n">
        <v>232</v>
      </c>
    </row>
    <row r="189" customFormat="false" ht="15" hidden="false" customHeight="true" outlineLevel="0" collapsed="false">
      <c r="A189" s="7" t="s">
        <v>285</v>
      </c>
      <c r="B189" s="8" t="n">
        <v>44856</v>
      </c>
      <c r="C189" s="7" t="s">
        <v>22</v>
      </c>
      <c r="D189" s="7" t="s">
        <v>16</v>
      </c>
      <c r="E189" s="7" t="s">
        <v>62</v>
      </c>
      <c r="F189" s="7" t="s">
        <v>103</v>
      </c>
      <c r="G189" s="9" t="s">
        <v>104</v>
      </c>
      <c r="H189" s="7" t="n">
        <v>7</v>
      </c>
      <c r="I189" s="10" t="n">
        <v>120</v>
      </c>
      <c r="J189" s="10" t="n">
        <v>90</v>
      </c>
      <c r="K189" s="7" t="n">
        <v>15</v>
      </c>
      <c r="L189" s="7" t="s">
        <v>20</v>
      </c>
      <c r="M189" s="10" t="n">
        <v>840</v>
      </c>
      <c r="N189" s="10" t="n">
        <v>210</v>
      </c>
    </row>
    <row r="190" customFormat="false" ht="15" hidden="false" customHeight="true" outlineLevel="0" collapsed="false">
      <c r="A190" s="3" t="s">
        <v>286</v>
      </c>
      <c r="B190" s="4" t="n">
        <v>44856</v>
      </c>
      <c r="C190" s="3" t="s">
        <v>28</v>
      </c>
      <c r="D190" s="3" t="s">
        <v>29</v>
      </c>
      <c r="E190" s="3" t="s">
        <v>30</v>
      </c>
      <c r="F190" s="3" t="s">
        <v>118</v>
      </c>
      <c r="G190" s="5" t="s">
        <v>119</v>
      </c>
      <c r="H190" s="3" t="n">
        <v>15</v>
      </c>
      <c r="I190" s="6" t="n">
        <v>412</v>
      </c>
      <c r="J190" s="6" t="n">
        <v>280</v>
      </c>
      <c r="K190" s="3" t="n">
        <v>36</v>
      </c>
      <c r="L190" s="3" t="s">
        <v>26</v>
      </c>
      <c r="M190" s="6" t="n">
        <v>6180</v>
      </c>
      <c r="N190" s="6" t="n">
        <v>1980</v>
      </c>
    </row>
    <row r="191" customFormat="false" ht="15" hidden="false" customHeight="true" outlineLevel="0" collapsed="false">
      <c r="A191" s="7" t="s">
        <v>287</v>
      </c>
      <c r="B191" s="8" t="n">
        <v>44858</v>
      </c>
      <c r="C191" s="7" t="s">
        <v>111</v>
      </c>
      <c r="D191" s="7" t="s">
        <v>29</v>
      </c>
      <c r="E191" s="7" t="s">
        <v>30</v>
      </c>
      <c r="F191" s="7" t="s">
        <v>36</v>
      </c>
      <c r="G191" s="9" t="s">
        <v>37</v>
      </c>
      <c r="H191" s="7" t="n">
        <v>7</v>
      </c>
      <c r="I191" s="10" t="n">
        <v>685</v>
      </c>
      <c r="J191" s="10" t="n">
        <v>450</v>
      </c>
      <c r="K191" s="7" t="n">
        <v>17</v>
      </c>
      <c r="L191" s="7" t="s">
        <v>26</v>
      </c>
      <c r="M191" s="10" t="n">
        <v>4795</v>
      </c>
      <c r="N191" s="10" t="n">
        <v>1645</v>
      </c>
    </row>
    <row r="192" customFormat="false" ht="15" hidden="false" customHeight="true" outlineLevel="0" collapsed="false">
      <c r="A192" s="3" t="s">
        <v>288</v>
      </c>
      <c r="B192" s="4" t="n">
        <v>44860</v>
      </c>
      <c r="C192" s="3" t="s">
        <v>43</v>
      </c>
      <c r="D192" s="3" t="s">
        <v>16</v>
      </c>
      <c r="E192" s="3" t="s">
        <v>62</v>
      </c>
      <c r="F192" s="3" t="s">
        <v>96</v>
      </c>
      <c r="G192" s="5" t="s">
        <v>97</v>
      </c>
      <c r="H192" s="3" t="n">
        <v>7</v>
      </c>
      <c r="I192" s="6" t="n">
        <v>104</v>
      </c>
      <c r="J192" s="6" t="n">
        <v>80</v>
      </c>
      <c r="K192" s="3" t="n">
        <v>50</v>
      </c>
      <c r="L192" s="3" t="s">
        <v>26</v>
      </c>
      <c r="M192" s="6" t="n">
        <v>728</v>
      </c>
      <c r="N192" s="6" t="n">
        <v>168</v>
      </c>
    </row>
    <row r="193" customFormat="false" ht="15" hidden="false" customHeight="true" outlineLevel="0" collapsed="false">
      <c r="A193" s="7" t="s">
        <v>289</v>
      </c>
      <c r="B193" s="8" t="n">
        <v>44860</v>
      </c>
      <c r="C193" s="7" t="s">
        <v>22</v>
      </c>
      <c r="D193" s="7" t="s">
        <v>16</v>
      </c>
      <c r="E193" s="7" t="s">
        <v>30</v>
      </c>
      <c r="F193" s="7" t="s">
        <v>36</v>
      </c>
      <c r="G193" s="9" t="s">
        <v>37</v>
      </c>
      <c r="H193" s="7" t="n">
        <v>2</v>
      </c>
      <c r="I193" s="10" t="n">
        <v>650</v>
      </c>
      <c r="J193" s="10" t="n">
        <v>450</v>
      </c>
      <c r="K193" s="7" t="n">
        <v>37</v>
      </c>
      <c r="L193" s="7" t="s">
        <v>20</v>
      </c>
      <c r="M193" s="10" t="n">
        <v>1300</v>
      </c>
      <c r="N193" s="10" t="n">
        <v>400</v>
      </c>
    </row>
    <row r="194" customFormat="false" ht="15" hidden="false" customHeight="true" outlineLevel="0" collapsed="false">
      <c r="A194" s="3" t="s">
        <v>290</v>
      </c>
      <c r="B194" s="4" t="n">
        <v>44860</v>
      </c>
      <c r="C194" s="3" t="s">
        <v>22</v>
      </c>
      <c r="D194" s="3" t="s">
        <v>16</v>
      </c>
      <c r="E194" s="3" t="s">
        <v>39</v>
      </c>
      <c r="F194" s="3" t="s">
        <v>99</v>
      </c>
      <c r="G194" s="5" t="s">
        <v>100</v>
      </c>
      <c r="H194" s="3" t="n">
        <v>2</v>
      </c>
      <c r="I194" s="6" t="n">
        <v>259</v>
      </c>
      <c r="J194" s="6" t="n">
        <v>220</v>
      </c>
      <c r="K194" s="3" t="n">
        <v>1</v>
      </c>
      <c r="L194" s="3" t="s">
        <v>26</v>
      </c>
      <c r="M194" s="6" t="n">
        <v>518</v>
      </c>
      <c r="N194" s="6" t="n">
        <v>78</v>
      </c>
    </row>
    <row r="195" customFormat="false" ht="15" hidden="false" customHeight="true" outlineLevel="0" collapsed="false">
      <c r="A195" s="7" t="s">
        <v>291</v>
      </c>
      <c r="B195" s="8" t="n">
        <v>44861</v>
      </c>
      <c r="C195" s="7" t="s">
        <v>94</v>
      </c>
      <c r="D195" s="7" t="s">
        <v>48</v>
      </c>
      <c r="E195" s="7" t="s">
        <v>39</v>
      </c>
      <c r="F195" s="7" t="s">
        <v>99</v>
      </c>
      <c r="G195" s="9" t="s">
        <v>100</v>
      </c>
      <c r="H195" s="7" t="n">
        <v>9</v>
      </c>
      <c r="I195" s="10" t="n">
        <v>254</v>
      </c>
      <c r="J195" s="10" t="n">
        <v>220</v>
      </c>
      <c r="K195" s="7" t="n">
        <v>26</v>
      </c>
      <c r="L195" s="7" t="s">
        <v>26</v>
      </c>
      <c r="M195" s="10" t="n">
        <v>2286</v>
      </c>
      <c r="N195" s="10" t="n">
        <v>306</v>
      </c>
    </row>
    <row r="196" customFormat="false" ht="15" hidden="false" customHeight="true" outlineLevel="0" collapsed="false">
      <c r="A196" s="3" t="s">
        <v>292</v>
      </c>
      <c r="B196" s="4" t="n">
        <v>44864</v>
      </c>
      <c r="C196" s="3" t="s">
        <v>111</v>
      </c>
      <c r="D196" s="3" t="s">
        <v>29</v>
      </c>
      <c r="E196" s="3" t="s">
        <v>62</v>
      </c>
      <c r="F196" s="3" t="s">
        <v>69</v>
      </c>
      <c r="G196" s="5" t="s">
        <v>70</v>
      </c>
      <c r="H196" s="3" t="n">
        <v>6</v>
      </c>
      <c r="I196" s="6" t="n">
        <v>68</v>
      </c>
      <c r="J196" s="6" t="n">
        <v>50</v>
      </c>
      <c r="K196" s="3" t="n">
        <v>11</v>
      </c>
      <c r="L196" s="3" t="s">
        <v>26</v>
      </c>
      <c r="M196" s="6" t="n">
        <v>408</v>
      </c>
      <c r="N196" s="6" t="n">
        <v>108</v>
      </c>
    </row>
    <row r="197" customFormat="false" ht="15" hidden="false" customHeight="true" outlineLevel="0" collapsed="false">
      <c r="A197" s="7" t="s">
        <v>293</v>
      </c>
      <c r="B197" s="8" t="n">
        <v>44864</v>
      </c>
      <c r="C197" s="7" t="s">
        <v>52</v>
      </c>
      <c r="D197" s="7" t="s">
        <v>29</v>
      </c>
      <c r="E197" s="7" t="s">
        <v>39</v>
      </c>
      <c r="F197" s="7" t="s">
        <v>40</v>
      </c>
      <c r="G197" s="9" t="s">
        <v>41</v>
      </c>
      <c r="H197" s="7" t="n">
        <v>9</v>
      </c>
      <c r="I197" s="10" t="n">
        <v>105</v>
      </c>
      <c r="J197" s="10" t="n">
        <v>90</v>
      </c>
      <c r="K197" s="7" t="n">
        <v>3</v>
      </c>
      <c r="L197" s="7" t="s">
        <v>26</v>
      </c>
      <c r="M197" s="10" t="n">
        <v>945</v>
      </c>
      <c r="N197" s="10" t="n">
        <v>135</v>
      </c>
    </row>
    <row r="198" customFormat="false" ht="15" hidden="false" customHeight="true" outlineLevel="0" collapsed="false">
      <c r="A198" s="3" t="s">
        <v>294</v>
      </c>
      <c r="B198" s="4" t="n">
        <v>44864</v>
      </c>
      <c r="C198" s="3" t="s">
        <v>94</v>
      </c>
      <c r="D198" s="3" t="s">
        <v>48</v>
      </c>
      <c r="E198" s="3" t="s">
        <v>17</v>
      </c>
      <c r="F198" s="3" t="s">
        <v>66</v>
      </c>
      <c r="G198" s="5" t="s">
        <v>67</v>
      </c>
      <c r="H198" s="3" t="n">
        <v>12</v>
      </c>
      <c r="I198" s="6" t="n">
        <v>499</v>
      </c>
      <c r="J198" s="6" t="n">
        <v>350</v>
      </c>
      <c r="K198" s="3" t="n">
        <v>47</v>
      </c>
      <c r="L198" s="3" t="s">
        <v>26</v>
      </c>
      <c r="M198" s="6" t="n">
        <v>5988</v>
      </c>
      <c r="N198" s="6" t="n">
        <v>1788</v>
      </c>
    </row>
    <row r="199" customFormat="false" ht="15" hidden="false" customHeight="true" outlineLevel="0" collapsed="false">
      <c r="A199" s="7" t="s">
        <v>295</v>
      </c>
      <c r="B199" s="8" t="n">
        <v>44865</v>
      </c>
      <c r="C199" s="7" t="s">
        <v>28</v>
      </c>
      <c r="D199" s="7" t="s">
        <v>29</v>
      </c>
      <c r="E199" s="7" t="s">
        <v>23</v>
      </c>
      <c r="F199" s="7" t="s">
        <v>49</v>
      </c>
      <c r="G199" s="9" t="s">
        <v>50</v>
      </c>
      <c r="H199" s="7" t="n">
        <v>11</v>
      </c>
      <c r="I199" s="10" t="n">
        <v>22849</v>
      </c>
      <c r="J199" s="10" t="n">
        <v>18000</v>
      </c>
      <c r="K199" s="7" t="n">
        <v>35</v>
      </c>
      <c r="L199" s="7" t="s">
        <v>26</v>
      </c>
      <c r="M199" s="10" t="n">
        <v>251339</v>
      </c>
      <c r="N199" s="10" t="n">
        <v>53339</v>
      </c>
    </row>
    <row r="200" customFormat="false" ht="15" hidden="false" customHeight="true" outlineLevel="0" collapsed="false">
      <c r="A200" s="3" t="s">
        <v>296</v>
      </c>
      <c r="B200" s="4" t="n">
        <v>44866</v>
      </c>
      <c r="C200" s="3" t="s">
        <v>22</v>
      </c>
      <c r="D200" s="3" t="s">
        <v>16</v>
      </c>
      <c r="E200" s="3" t="s">
        <v>39</v>
      </c>
      <c r="F200" s="3" t="s">
        <v>161</v>
      </c>
      <c r="G200" s="5" t="s">
        <v>162</v>
      </c>
      <c r="H200" s="3" t="n">
        <v>10</v>
      </c>
      <c r="I200" s="6" t="n">
        <v>427</v>
      </c>
      <c r="J200" s="6" t="n">
        <v>350</v>
      </c>
      <c r="K200" s="3" t="n">
        <v>49</v>
      </c>
      <c r="L200" s="3" t="s">
        <v>20</v>
      </c>
      <c r="M200" s="6" t="n">
        <v>4270</v>
      </c>
      <c r="N200" s="6" t="n">
        <v>770</v>
      </c>
    </row>
    <row r="201" customFormat="false" ht="15" hidden="false" customHeight="true" outlineLevel="0" collapsed="false">
      <c r="A201" s="7" t="s">
        <v>297</v>
      </c>
      <c r="B201" s="8" t="n">
        <v>44866</v>
      </c>
      <c r="C201" s="7" t="s">
        <v>34</v>
      </c>
      <c r="D201" s="7" t="s">
        <v>35</v>
      </c>
      <c r="E201" s="7" t="s">
        <v>30</v>
      </c>
      <c r="F201" s="7" t="s">
        <v>118</v>
      </c>
      <c r="G201" s="9" t="s">
        <v>119</v>
      </c>
      <c r="H201" s="7" t="n">
        <v>12</v>
      </c>
      <c r="I201" s="10" t="n">
        <v>414</v>
      </c>
      <c r="J201" s="10" t="n">
        <v>280</v>
      </c>
      <c r="K201" s="7" t="n">
        <v>22</v>
      </c>
      <c r="L201" s="7" t="s">
        <v>26</v>
      </c>
      <c r="M201" s="10" t="n">
        <v>4968</v>
      </c>
      <c r="N201" s="10" t="n">
        <v>1608</v>
      </c>
    </row>
    <row r="202" customFormat="false" ht="15" hidden="false" customHeight="true" outlineLevel="0" collapsed="false">
      <c r="A202" s="3" t="s">
        <v>298</v>
      </c>
      <c r="B202" s="4" t="n">
        <v>44867</v>
      </c>
      <c r="C202" s="3" t="s">
        <v>94</v>
      </c>
      <c r="D202" s="3" t="s">
        <v>48</v>
      </c>
      <c r="E202" s="3" t="s">
        <v>23</v>
      </c>
      <c r="F202" s="3" t="s">
        <v>24</v>
      </c>
      <c r="G202" s="5" t="s">
        <v>25</v>
      </c>
      <c r="H202" s="3" t="n">
        <v>9</v>
      </c>
      <c r="I202" s="6" t="n">
        <v>444</v>
      </c>
      <c r="J202" s="6" t="n">
        <v>350</v>
      </c>
      <c r="K202" s="3" t="n">
        <v>49</v>
      </c>
      <c r="L202" s="3" t="s">
        <v>26</v>
      </c>
      <c r="M202" s="6" t="n">
        <v>3996</v>
      </c>
      <c r="N202" s="6" t="n">
        <v>846</v>
      </c>
    </row>
    <row r="203" customFormat="false" ht="15" hidden="false" customHeight="true" outlineLevel="0" collapsed="false">
      <c r="A203" s="7" t="s">
        <v>299</v>
      </c>
      <c r="B203" s="8" t="n">
        <v>44868</v>
      </c>
      <c r="C203" s="7" t="s">
        <v>34</v>
      </c>
      <c r="D203" s="7" t="s">
        <v>35</v>
      </c>
      <c r="E203" s="7" t="s">
        <v>77</v>
      </c>
      <c r="F203" s="7" t="s">
        <v>81</v>
      </c>
      <c r="G203" s="9" t="s">
        <v>82</v>
      </c>
      <c r="H203" s="7" t="n">
        <v>2</v>
      </c>
      <c r="I203" s="10" t="n">
        <v>823</v>
      </c>
      <c r="J203" s="10" t="n">
        <v>600</v>
      </c>
      <c r="K203" s="7" t="n">
        <v>1</v>
      </c>
      <c r="L203" s="7" t="s">
        <v>26</v>
      </c>
      <c r="M203" s="10" t="n">
        <v>1646</v>
      </c>
      <c r="N203" s="10" t="n">
        <v>446</v>
      </c>
    </row>
    <row r="204" customFormat="false" ht="15" hidden="false" customHeight="true" outlineLevel="0" collapsed="false">
      <c r="A204" s="3" t="s">
        <v>300</v>
      </c>
      <c r="B204" s="4" t="n">
        <v>44868</v>
      </c>
      <c r="C204" s="3" t="s">
        <v>72</v>
      </c>
      <c r="D204" s="3" t="s">
        <v>35</v>
      </c>
      <c r="E204" s="3" t="s">
        <v>62</v>
      </c>
      <c r="F204" s="3" t="s">
        <v>63</v>
      </c>
      <c r="G204" s="5" t="s">
        <v>64</v>
      </c>
      <c r="H204" s="3" t="n">
        <v>9</v>
      </c>
      <c r="I204" s="6" t="n">
        <v>81</v>
      </c>
      <c r="J204" s="6" t="n">
        <v>60</v>
      </c>
      <c r="K204" s="3" t="n">
        <v>37</v>
      </c>
      <c r="L204" s="3" t="s">
        <v>26</v>
      </c>
      <c r="M204" s="6" t="n">
        <v>729</v>
      </c>
      <c r="N204" s="6" t="n">
        <v>189</v>
      </c>
    </row>
    <row r="205" customFormat="false" ht="15" hidden="false" customHeight="true" outlineLevel="0" collapsed="false">
      <c r="A205" s="7" t="s">
        <v>301</v>
      </c>
      <c r="B205" s="8" t="n">
        <v>44871</v>
      </c>
      <c r="C205" s="7" t="s">
        <v>94</v>
      </c>
      <c r="D205" s="7" t="s">
        <v>48</v>
      </c>
      <c r="E205" s="7" t="s">
        <v>77</v>
      </c>
      <c r="F205" s="7" t="s">
        <v>81</v>
      </c>
      <c r="G205" s="9" t="s">
        <v>82</v>
      </c>
      <c r="H205" s="7" t="n">
        <v>11</v>
      </c>
      <c r="I205" s="10" t="n">
        <v>828</v>
      </c>
      <c r="J205" s="10" t="n">
        <v>600</v>
      </c>
      <c r="K205" s="7" t="n">
        <v>24</v>
      </c>
      <c r="L205" s="7" t="s">
        <v>26</v>
      </c>
      <c r="M205" s="10" t="n">
        <v>9108</v>
      </c>
      <c r="N205" s="10" t="n">
        <v>2508</v>
      </c>
    </row>
    <row r="206" customFormat="false" ht="15" hidden="false" customHeight="true" outlineLevel="0" collapsed="false">
      <c r="A206" s="3" t="s">
        <v>302</v>
      </c>
      <c r="B206" s="4" t="n">
        <v>44872</v>
      </c>
      <c r="C206" s="3" t="s">
        <v>136</v>
      </c>
      <c r="D206" s="3" t="s">
        <v>35</v>
      </c>
      <c r="E206" s="3" t="s">
        <v>77</v>
      </c>
      <c r="F206" s="3" t="s">
        <v>152</v>
      </c>
      <c r="G206" s="5" t="s">
        <v>153</v>
      </c>
      <c r="H206" s="3" t="n">
        <v>8</v>
      </c>
      <c r="I206" s="6" t="n">
        <v>461</v>
      </c>
      <c r="J206" s="6" t="n">
        <v>350</v>
      </c>
      <c r="K206" s="3" t="n">
        <v>0</v>
      </c>
      <c r="L206" s="3" t="s">
        <v>26</v>
      </c>
      <c r="M206" s="6" t="n">
        <v>3688</v>
      </c>
      <c r="N206" s="6" t="n">
        <v>888</v>
      </c>
    </row>
    <row r="207" customFormat="false" ht="15" hidden="false" customHeight="true" outlineLevel="0" collapsed="false">
      <c r="A207" s="7" t="s">
        <v>303</v>
      </c>
      <c r="B207" s="8" t="n">
        <v>44873</v>
      </c>
      <c r="C207" s="7" t="s">
        <v>52</v>
      </c>
      <c r="D207" s="7" t="s">
        <v>29</v>
      </c>
      <c r="E207" s="7" t="s">
        <v>39</v>
      </c>
      <c r="F207" s="7" t="s">
        <v>220</v>
      </c>
      <c r="G207" s="9" t="s">
        <v>221</v>
      </c>
      <c r="H207" s="7" t="n">
        <v>2</v>
      </c>
      <c r="I207" s="10" t="n">
        <v>207</v>
      </c>
      <c r="J207" s="10" t="n">
        <v>180</v>
      </c>
      <c r="K207" s="7" t="n">
        <v>16</v>
      </c>
      <c r="L207" s="7" t="s">
        <v>20</v>
      </c>
      <c r="M207" s="10" t="n">
        <v>414</v>
      </c>
      <c r="N207" s="10" t="n">
        <v>54</v>
      </c>
    </row>
    <row r="208" customFormat="false" ht="15" hidden="false" customHeight="true" outlineLevel="0" collapsed="false">
      <c r="A208" s="3" t="s">
        <v>304</v>
      </c>
      <c r="B208" s="4" t="n">
        <v>44874</v>
      </c>
      <c r="C208" s="3" t="s">
        <v>47</v>
      </c>
      <c r="D208" s="3" t="s">
        <v>48</v>
      </c>
      <c r="E208" s="3" t="s">
        <v>39</v>
      </c>
      <c r="F208" s="3" t="s">
        <v>161</v>
      </c>
      <c r="G208" s="5" t="s">
        <v>162</v>
      </c>
      <c r="H208" s="3" t="n">
        <v>11</v>
      </c>
      <c r="I208" s="6" t="n">
        <v>396</v>
      </c>
      <c r="J208" s="6" t="n">
        <v>350</v>
      </c>
      <c r="K208" s="3" t="n">
        <v>9</v>
      </c>
      <c r="L208" s="3" t="s">
        <v>20</v>
      </c>
      <c r="M208" s="6" t="n">
        <v>4356</v>
      </c>
      <c r="N208" s="6" t="n">
        <v>506</v>
      </c>
    </row>
    <row r="209" customFormat="false" ht="15" hidden="false" customHeight="true" outlineLevel="0" collapsed="false">
      <c r="A209" s="7" t="s">
        <v>305</v>
      </c>
      <c r="B209" s="8" t="n">
        <v>44874</v>
      </c>
      <c r="C209" s="7" t="s">
        <v>52</v>
      </c>
      <c r="D209" s="7" t="s">
        <v>29</v>
      </c>
      <c r="E209" s="7" t="s">
        <v>30</v>
      </c>
      <c r="F209" s="7" t="s">
        <v>126</v>
      </c>
      <c r="G209" s="9" t="s">
        <v>127</v>
      </c>
      <c r="H209" s="7" t="n">
        <v>1</v>
      </c>
      <c r="I209" s="10" t="n">
        <v>586</v>
      </c>
      <c r="J209" s="10" t="n">
        <v>400</v>
      </c>
      <c r="K209" s="7" t="n">
        <v>22</v>
      </c>
      <c r="L209" s="7" t="s">
        <v>20</v>
      </c>
      <c r="M209" s="10" t="n">
        <v>586</v>
      </c>
      <c r="N209" s="10" t="n">
        <v>186</v>
      </c>
    </row>
    <row r="210" customFormat="false" ht="15" hidden="false" customHeight="true" outlineLevel="0" collapsed="false">
      <c r="A210" s="3" t="s">
        <v>306</v>
      </c>
      <c r="B210" s="4" t="n">
        <v>44876</v>
      </c>
      <c r="C210" s="3" t="s">
        <v>28</v>
      </c>
      <c r="D210" s="3" t="s">
        <v>29</v>
      </c>
      <c r="E210" s="3" t="s">
        <v>23</v>
      </c>
      <c r="F210" s="3" t="s">
        <v>90</v>
      </c>
      <c r="G210" s="5" t="s">
        <v>91</v>
      </c>
      <c r="H210" s="3" t="n">
        <v>1</v>
      </c>
      <c r="I210" s="6" t="n">
        <v>719</v>
      </c>
      <c r="J210" s="6" t="n">
        <v>600</v>
      </c>
      <c r="K210" s="3" t="n">
        <v>29</v>
      </c>
      <c r="L210" s="3" t="s">
        <v>26</v>
      </c>
      <c r="M210" s="6" t="n">
        <v>719</v>
      </c>
      <c r="N210" s="6" t="n">
        <v>119</v>
      </c>
    </row>
    <row r="211" customFormat="false" ht="15" hidden="false" customHeight="true" outlineLevel="0" collapsed="false">
      <c r="A211" s="7" t="s">
        <v>307</v>
      </c>
      <c r="B211" s="8" t="n">
        <v>44881</v>
      </c>
      <c r="C211" s="7" t="s">
        <v>94</v>
      </c>
      <c r="D211" s="7" t="s">
        <v>48</v>
      </c>
      <c r="E211" s="7" t="s">
        <v>62</v>
      </c>
      <c r="F211" s="7" t="s">
        <v>96</v>
      </c>
      <c r="G211" s="9" t="s">
        <v>97</v>
      </c>
      <c r="H211" s="7" t="n">
        <v>3</v>
      </c>
      <c r="I211" s="10" t="n">
        <v>111</v>
      </c>
      <c r="J211" s="10" t="n">
        <v>80</v>
      </c>
      <c r="K211" s="7" t="n">
        <v>12</v>
      </c>
      <c r="L211" s="7" t="s">
        <v>20</v>
      </c>
      <c r="M211" s="10" t="n">
        <v>333</v>
      </c>
      <c r="N211" s="10" t="n">
        <v>93</v>
      </c>
    </row>
    <row r="212" customFormat="false" ht="15" hidden="false" customHeight="true" outlineLevel="0" collapsed="false">
      <c r="A212" s="3" t="s">
        <v>308</v>
      </c>
      <c r="B212" s="4" t="n">
        <v>44882</v>
      </c>
      <c r="C212" s="3" t="s">
        <v>136</v>
      </c>
      <c r="D212" s="3" t="s">
        <v>35</v>
      </c>
      <c r="E212" s="3" t="s">
        <v>77</v>
      </c>
      <c r="F212" s="3" t="s">
        <v>152</v>
      </c>
      <c r="G212" s="5" t="s">
        <v>153</v>
      </c>
      <c r="H212" s="3" t="n">
        <v>8</v>
      </c>
      <c r="I212" s="6" t="n">
        <v>496</v>
      </c>
      <c r="J212" s="6" t="n">
        <v>350</v>
      </c>
      <c r="K212" s="3" t="n">
        <v>46</v>
      </c>
      <c r="L212" s="3" t="s">
        <v>20</v>
      </c>
      <c r="M212" s="6" t="n">
        <v>3968</v>
      </c>
      <c r="N212" s="6" t="n">
        <v>1168</v>
      </c>
    </row>
    <row r="213" customFormat="false" ht="15" hidden="false" customHeight="true" outlineLevel="0" collapsed="false">
      <c r="A213" s="7" t="s">
        <v>309</v>
      </c>
      <c r="B213" s="8" t="n">
        <v>44883</v>
      </c>
      <c r="C213" s="7" t="s">
        <v>43</v>
      </c>
      <c r="D213" s="7" t="s">
        <v>16</v>
      </c>
      <c r="E213" s="7" t="s">
        <v>62</v>
      </c>
      <c r="F213" s="7" t="s">
        <v>63</v>
      </c>
      <c r="G213" s="9" t="s">
        <v>64</v>
      </c>
      <c r="H213" s="7" t="n">
        <v>10</v>
      </c>
      <c r="I213" s="10" t="n">
        <v>77</v>
      </c>
      <c r="J213" s="10" t="n">
        <v>60</v>
      </c>
      <c r="K213" s="7" t="n">
        <v>28</v>
      </c>
      <c r="L213" s="7" t="s">
        <v>26</v>
      </c>
      <c r="M213" s="10" t="n">
        <v>770</v>
      </c>
      <c r="N213" s="10" t="n">
        <v>170</v>
      </c>
    </row>
    <row r="214" customFormat="false" ht="15" hidden="false" customHeight="true" outlineLevel="0" collapsed="false">
      <c r="A214" s="3" t="s">
        <v>310</v>
      </c>
      <c r="B214" s="4" t="n">
        <v>44884</v>
      </c>
      <c r="C214" s="3" t="s">
        <v>22</v>
      </c>
      <c r="D214" s="3" t="s">
        <v>16</v>
      </c>
      <c r="E214" s="3" t="s">
        <v>23</v>
      </c>
      <c r="F214" s="3" t="s">
        <v>204</v>
      </c>
      <c r="G214" s="5" t="s">
        <v>205</v>
      </c>
      <c r="H214" s="3" t="n">
        <v>10</v>
      </c>
      <c r="I214" s="6" t="n">
        <v>2251</v>
      </c>
      <c r="J214" s="6" t="n">
        <v>1800</v>
      </c>
      <c r="K214" s="3" t="n">
        <v>28</v>
      </c>
      <c r="L214" s="3" t="s">
        <v>26</v>
      </c>
      <c r="M214" s="6" t="n">
        <v>22510</v>
      </c>
      <c r="N214" s="6" t="n">
        <v>4510</v>
      </c>
    </row>
    <row r="215" customFormat="false" ht="15" hidden="false" customHeight="true" outlineLevel="0" collapsed="false">
      <c r="A215" s="7" t="s">
        <v>311</v>
      </c>
      <c r="B215" s="8" t="n">
        <v>44884</v>
      </c>
      <c r="C215" s="7" t="s">
        <v>111</v>
      </c>
      <c r="D215" s="7" t="s">
        <v>29</v>
      </c>
      <c r="E215" s="7" t="s">
        <v>23</v>
      </c>
      <c r="F215" s="7" t="s">
        <v>90</v>
      </c>
      <c r="G215" s="9" t="s">
        <v>91</v>
      </c>
      <c r="H215" s="7" t="n">
        <v>7</v>
      </c>
      <c r="I215" s="10" t="n">
        <v>737</v>
      </c>
      <c r="J215" s="10" t="n">
        <v>600</v>
      </c>
      <c r="K215" s="7" t="n">
        <v>21</v>
      </c>
      <c r="L215" s="7" t="s">
        <v>26</v>
      </c>
      <c r="M215" s="10" t="n">
        <v>5159</v>
      </c>
      <c r="N215" s="10" t="n">
        <v>959</v>
      </c>
    </row>
    <row r="216" customFormat="false" ht="15" hidden="false" customHeight="true" outlineLevel="0" collapsed="false">
      <c r="A216" s="3" t="s">
        <v>312</v>
      </c>
      <c r="B216" s="4" t="n">
        <v>44888</v>
      </c>
      <c r="C216" s="3" t="s">
        <v>15</v>
      </c>
      <c r="D216" s="3" t="s">
        <v>16</v>
      </c>
      <c r="E216" s="3" t="s">
        <v>17</v>
      </c>
      <c r="F216" s="3" t="s">
        <v>59</v>
      </c>
      <c r="G216" s="5" t="s">
        <v>60</v>
      </c>
      <c r="H216" s="3" t="n">
        <v>7</v>
      </c>
      <c r="I216" s="6" t="n">
        <v>387</v>
      </c>
      <c r="J216" s="6" t="n">
        <v>280</v>
      </c>
      <c r="K216" s="3" t="n">
        <v>29</v>
      </c>
      <c r="L216" s="3" t="s">
        <v>26</v>
      </c>
      <c r="M216" s="6" t="n">
        <v>2709</v>
      </c>
      <c r="N216" s="6" t="n">
        <v>749</v>
      </c>
    </row>
    <row r="217" customFormat="false" ht="15" hidden="false" customHeight="true" outlineLevel="0" collapsed="false">
      <c r="A217" s="7" t="s">
        <v>313</v>
      </c>
      <c r="B217" s="8" t="n">
        <v>44889</v>
      </c>
      <c r="C217" s="7" t="s">
        <v>28</v>
      </c>
      <c r="D217" s="7" t="s">
        <v>29</v>
      </c>
      <c r="E217" s="7" t="s">
        <v>17</v>
      </c>
      <c r="F217" s="7" t="s">
        <v>44</v>
      </c>
      <c r="G217" s="9" t="s">
        <v>45</v>
      </c>
      <c r="H217" s="7" t="n">
        <v>2</v>
      </c>
      <c r="I217" s="10" t="n">
        <v>342</v>
      </c>
      <c r="J217" s="10" t="n">
        <v>250</v>
      </c>
      <c r="K217" s="7" t="n">
        <v>21</v>
      </c>
      <c r="L217" s="7" t="s">
        <v>20</v>
      </c>
      <c r="M217" s="10" t="n">
        <v>684</v>
      </c>
      <c r="N217" s="10" t="n">
        <v>184</v>
      </c>
    </row>
    <row r="218" customFormat="false" ht="15" hidden="false" customHeight="true" outlineLevel="0" collapsed="false">
      <c r="A218" s="3" t="s">
        <v>314</v>
      </c>
      <c r="B218" s="4" t="n">
        <v>44889</v>
      </c>
      <c r="C218" s="3" t="s">
        <v>72</v>
      </c>
      <c r="D218" s="3" t="s">
        <v>35</v>
      </c>
      <c r="E218" s="3" t="s">
        <v>39</v>
      </c>
      <c r="F218" s="3" t="s">
        <v>99</v>
      </c>
      <c r="G218" s="5" t="s">
        <v>100</v>
      </c>
      <c r="H218" s="3" t="n">
        <v>8</v>
      </c>
      <c r="I218" s="6" t="n">
        <v>270</v>
      </c>
      <c r="J218" s="6" t="n">
        <v>220</v>
      </c>
      <c r="K218" s="3" t="n">
        <v>36</v>
      </c>
      <c r="L218" s="3" t="s">
        <v>26</v>
      </c>
      <c r="M218" s="6" t="n">
        <v>2160</v>
      </c>
      <c r="N218" s="6" t="n">
        <v>400</v>
      </c>
    </row>
    <row r="219" customFormat="false" ht="15" hidden="false" customHeight="true" outlineLevel="0" collapsed="false">
      <c r="A219" s="7" t="s">
        <v>315</v>
      </c>
      <c r="B219" s="8" t="n">
        <v>44896</v>
      </c>
      <c r="C219" s="7" t="s">
        <v>15</v>
      </c>
      <c r="D219" s="7" t="s">
        <v>16</v>
      </c>
      <c r="E219" s="7" t="s">
        <v>39</v>
      </c>
      <c r="F219" s="7" t="s">
        <v>220</v>
      </c>
      <c r="G219" s="9" t="s">
        <v>221</v>
      </c>
      <c r="H219" s="7" t="n">
        <v>6</v>
      </c>
      <c r="I219" s="10" t="n">
        <v>202</v>
      </c>
      <c r="J219" s="10" t="n">
        <v>180</v>
      </c>
      <c r="K219" s="7" t="n">
        <v>11</v>
      </c>
      <c r="L219" s="7" t="s">
        <v>20</v>
      </c>
      <c r="M219" s="10" t="n">
        <v>1212</v>
      </c>
      <c r="N219" s="10" t="n">
        <v>132</v>
      </c>
    </row>
    <row r="220" customFormat="false" ht="15" hidden="false" customHeight="true" outlineLevel="0" collapsed="false">
      <c r="A220" s="3" t="s">
        <v>316</v>
      </c>
      <c r="B220" s="4" t="n">
        <v>44897</v>
      </c>
      <c r="C220" s="3" t="s">
        <v>111</v>
      </c>
      <c r="D220" s="3" t="s">
        <v>29</v>
      </c>
      <c r="E220" s="3" t="s">
        <v>62</v>
      </c>
      <c r="F220" s="3" t="s">
        <v>63</v>
      </c>
      <c r="G220" s="5" t="s">
        <v>64</v>
      </c>
      <c r="H220" s="3" t="n">
        <v>15</v>
      </c>
      <c r="I220" s="6" t="n">
        <v>83</v>
      </c>
      <c r="J220" s="6" t="n">
        <v>60</v>
      </c>
      <c r="K220" s="3" t="n">
        <v>35</v>
      </c>
      <c r="L220" s="3" t="s">
        <v>20</v>
      </c>
      <c r="M220" s="6" t="n">
        <v>1245</v>
      </c>
      <c r="N220" s="6" t="n">
        <v>345</v>
      </c>
    </row>
    <row r="221" customFormat="false" ht="15" hidden="false" customHeight="true" outlineLevel="0" collapsed="false">
      <c r="A221" s="7" t="s">
        <v>317</v>
      </c>
      <c r="B221" s="8" t="n">
        <v>44898</v>
      </c>
      <c r="C221" s="7" t="s">
        <v>47</v>
      </c>
      <c r="D221" s="7" t="s">
        <v>48</v>
      </c>
      <c r="E221" s="7" t="s">
        <v>17</v>
      </c>
      <c r="F221" s="7" t="s">
        <v>44</v>
      </c>
      <c r="G221" s="9" t="s">
        <v>45</v>
      </c>
      <c r="H221" s="7" t="n">
        <v>2</v>
      </c>
      <c r="I221" s="10" t="n">
        <v>353</v>
      </c>
      <c r="J221" s="10" t="n">
        <v>250</v>
      </c>
      <c r="K221" s="7" t="n">
        <v>41</v>
      </c>
      <c r="L221" s="7" t="s">
        <v>26</v>
      </c>
      <c r="M221" s="10" t="n">
        <v>706</v>
      </c>
      <c r="N221" s="10" t="n">
        <v>206</v>
      </c>
    </row>
    <row r="222" customFormat="false" ht="15" hidden="false" customHeight="true" outlineLevel="0" collapsed="false">
      <c r="A222" s="3" t="s">
        <v>318</v>
      </c>
      <c r="B222" s="4" t="n">
        <v>44900</v>
      </c>
      <c r="C222" s="3" t="s">
        <v>28</v>
      </c>
      <c r="D222" s="3" t="s">
        <v>29</v>
      </c>
      <c r="E222" s="3" t="s">
        <v>17</v>
      </c>
      <c r="F222" s="3" t="s">
        <v>44</v>
      </c>
      <c r="G222" s="5" t="s">
        <v>45</v>
      </c>
      <c r="H222" s="3" t="n">
        <v>8</v>
      </c>
      <c r="I222" s="6" t="n">
        <v>362</v>
      </c>
      <c r="J222" s="6" t="n">
        <v>250</v>
      </c>
      <c r="K222" s="3" t="n">
        <v>18</v>
      </c>
      <c r="L222" s="3" t="s">
        <v>26</v>
      </c>
      <c r="M222" s="6" t="n">
        <v>2896</v>
      </c>
      <c r="N222" s="6" t="n">
        <v>896</v>
      </c>
    </row>
    <row r="223" customFormat="false" ht="15" hidden="false" customHeight="true" outlineLevel="0" collapsed="false">
      <c r="A223" s="7" t="s">
        <v>319</v>
      </c>
      <c r="B223" s="8" t="n">
        <v>44901</v>
      </c>
      <c r="C223" s="7" t="s">
        <v>136</v>
      </c>
      <c r="D223" s="7" t="s">
        <v>35</v>
      </c>
      <c r="E223" s="7" t="s">
        <v>77</v>
      </c>
      <c r="F223" s="7" t="s">
        <v>81</v>
      </c>
      <c r="G223" s="9" t="s">
        <v>82</v>
      </c>
      <c r="H223" s="7" t="n">
        <v>4</v>
      </c>
      <c r="I223" s="10" t="n">
        <v>805</v>
      </c>
      <c r="J223" s="10" t="n">
        <v>600</v>
      </c>
      <c r="K223" s="7" t="n">
        <v>32</v>
      </c>
      <c r="L223" s="7" t="s">
        <v>26</v>
      </c>
      <c r="M223" s="10" t="n">
        <v>3220</v>
      </c>
      <c r="N223" s="10" t="n">
        <v>820</v>
      </c>
    </row>
    <row r="224" customFormat="false" ht="15" hidden="false" customHeight="true" outlineLevel="0" collapsed="false">
      <c r="A224" s="3" t="s">
        <v>320</v>
      </c>
      <c r="B224" s="4" t="n">
        <v>44901</v>
      </c>
      <c r="C224" s="3" t="s">
        <v>28</v>
      </c>
      <c r="D224" s="3" t="s">
        <v>29</v>
      </c>
      <c r="E224" s="3" t="s">
        <v>77</v>
      </c>
      <c r="F224" s="3" t="s">
        <v>78</v>
      </c>
      <c r="G224" s="5" t="s">
        <v>79</v>
      </c>
      <c r="H224" s="3" t="n">
        <v>2</v>
      </c>
      <c r="I224" s="6" t="n">
        <v>1260</v>
      </c>
      <c r="J224" s="6" t="n">
        <v>900</v>
      </c>
      <c r="K224" s="3" t="n">
        <v>7</v>
      </c>
      <c r="L224" s="3" t="s">
        <v>26</v>
      </c>
      <c r="M224" s="6" t="n">
        <v>2520</v>
      </c>
      <c r="N224" s="6" t="n">
        <v>720</v>
      </c>
    </row>
    <row r="225" customFormat="false" ht="15" hidden="false" customHeight="true" outlineLevel="0" collapsed="false">
      <c r="A225" s="7" t="s">
        <v>321</v>
      </c>
      <c r="B225" s="8" t="n">
        <v>44902</v>
      </c>
      <c r="C225" s="7" t="s">
        <v>15</v>
      </c>
      <c r="D225" s="7" t="s">
        <v>16</v>
      </c>
      <c r="E225" s="7" t="s">
        <v>23</v>
      </c>
      <c r="F225" s="7" t="s">
        <v>204</v>
      </c>
      <c r="G225" s="9" t="s">
        <v>205</v>
      </c>
      <c r="H225" s="7" t="n">
        <v>10</v>
      </c>
      <c r="I225" s="10" t="n">
        <v>2263</v>
      </c>
      <c r="J225" s="10" t="n">
        <v>1800</v>
      </c>
      <c r="K225" s="7" t="n">
        <v>19</v>
      </c>
      <c r="L225" s="7" t="s">
        <v>26</v>
      </c>
      <c r="M225" s="10" t="n">
        <v>22630</v>
      </c>
      <c r="N225" s="10" t="n">
        <v>4630</v>
      </c>
    </row>
    <row r="226" customFormat="false" ht="15" hidden="false" customHeight="true" outlineLevel="0" collapsed="false">
      <c r="A226" s="3" t="s">
        <v>322</v>
      </c>
      <c r="B226" s="4" t="n">
        <v>44903</v>
      </c>
      <c r="C226" s="3" t="s">
        <v>43</v>
      </c>
      <c r="D226" s="3" t="s">
        <v>16</v>
      </c>
      <c r="E226" s="3" t="s">
        <v>62</v>
      </c>
      <c r="F226" s="3" t="s">
        <v>84</v>
      </c>
      <c r="G226" s="5" t="s">
        <v>85</v>
      </c>
      <c r="H226" s="3" t="n">
        <v>8</v>
      </c>
      <c r="I226" s="6" t="n">
        <v>479</v>
      </c>
      <c r="J226" s="6" t="n">
        <v>350</v>
      </c>
      <c r="K226" s="3" t="n">
        <v>36</v>
      </c>
      <c r="L226" s="3" t="s">
        <v>26</v>
      </c>
      <c r="M226" s="6" t="n">
        <v>3832</v>
      </c>
      <c r="N226" s="6" t="n">
        <v>1032</v>
      </c>
    </row>
    <row r="227" customFormat="false" ht="15" hidden="false" customHeight="true" outlineLevel="0" collapsed="false">
      <c r="A227" s="7" t="s">
        <v>323</v>
      </c>
      <c r="B227" s="8" t="n">
        <v>44908</v>
      </c>
      <c r="C227" s="7" t="s">
        <v>28</v>
      </c>
      <c r="D227" s="7" t="s">
        <v>29</v>
      </c>
      <c r="E227" s="7" t="s">
        <v>62</v>
      </c>
      <c r="F227" s="7" t="s">
        <v>69</v>
      </c>
      <c r="G227" s="9" t="s">
        <v>70</v>
      </c>
      <c r="H227" s="7" t="n">
        <v>15</v>
      </c>
      <c r="I227" s="10" t="n">
        <v>67</v>
      </c>
      <c r="J227" s="10" t="n">
        <v>50</v>
      </c>
      <c r="K227" s="7" t="n">
        <v>30</v>
      </c>
      <c r="L227" s="7" t="s">
        <v>20</v>
      </c>
      <c r="M227" s="10" t="n">
        <v>1005</v>
      </c>
      <c r="N227" s="10" t="n">
        <v>255</v>
      </c>
    </row>
    <row r="228" customFormat="false" ht="15" hidden="false" customHeight="true" outlineLevel="0" collapsed="false">
      <c r="A228" s="3" t="s">
        <v>324</v>
      </c>
      <c r="B228" s="4" t="n">
        <v>44911</v>
      </c>
      <c r="C228" s="3" t="s">
        <v>52</v>
      </c>
      <c r="D228" s="3" t="s">
        <v>29</v>
      </c>
      <c r="E228" s="3" t="s">
        <v>77</v>
      </c>
      <c r="F228" s="3" t="s">
        <v>180</v>
      </c>
      <c r="G228" s="5" t="s">
        <v>181</v>
      </c>
      <c r="H228" s="3" t="n">
        <v>2</v>
      </c>
      <c r="I228" s="6" t="n">
        <v>254</v>
      </c>
      <c r="J228" s="6" t="n">
        <v>180</v>
      </c>
      <c r="K228" s="3" t="n">
        <v>48</v>
      </c>
      <c r="L228" s="3" t="s">
        <v>26</v>
      </c>
      <c r="M228" s="6" t="n">
        <v>508</v>
      </c>
      <c r="N228" s="6" t="n">
        <v>148</v>
      </c>
    </row>
    <row r="229" customFormat="false" ht="15" hidden="false" customHeight="true" outlineLevel="0" collapsed="false">
      <c r="A229" s="7" t="s">
        <v>325</v>
      </c>
      <c r="B229" s="8" t="n">
        <v>44912</v>
      </c>
      <c r="C229" s="7" t="s">
        <v>43</v>
      </c>
      <c r="D229" s="7" t="s">
        <v>16</v>
      </c>
      <c r="E229" s="7" t="s">
        <v>39</v>
      </c>
      <c r="F229" s="7" t="s">
        <v>161</v>
      </c>
      <c r="G229" s="9" t="s">
        <v>162</v>
      </c>
      <c r="H229" s="7" t="n">
        <v>10</v>
      </c>
      <c r="I229" s="10" t="n">
        <v>429</v>
      </c>
      <c r="J229" s="10" t="n">
        <v>350</v>
      </c>
      <c r="K229" s="7" t="n">
        <v>11</v>
      </c>
      <c r="L229" s="7" t="s">
        <v>26</v>
      </c>
      <c r="M229" s="10" t="n">
        <v>4290</v>
      </c>
      <c r="N229" s="10" t="n">
        <v>790</v>
      </c>
    </row>
    <row r="230" customFormat="false" ht="15" hidden="false" customHeight="true" outlineLevel="0" collapsed="false">
      <c r="A230" s="3" t="s">
        <v>326</v>
      </c>
      <c r="B230" s="4" t="n">
        <v>44913</v>
      </c>
      <c r="C230" s="3" t="s">
        <v>72</v>
      </c>
      <c r="D230" s="3" t="s">
        <v>35</v>
      </c>
      <c r="E230" s="3" t="s">
        <v>23</v>
      </c>
      <c r="F230" s="3" t="s">
        <v>49</v>
      </c>
      <c r="G230" s="5" t="s">
        <v>50</v>
      </c>
      <c r="H230" s="3" t="n">
        <v>3</v>
      </c>
      <c r="I230" s="6" t="n">
        <v>22492</v>
      </c>
      <c r="J230" s="6" t="n">
        <v>18000</v>
      </c>
      <c r="K230" s="3" t="n">
        <v>24</v>
      </c>
      <c r="L230" s="3" t="s">
        <v>26</v>
      </c>
      <c r="M230" s="6" t="n">
        <v>67476</v>
      </c>
      <c r="N230" s="6" t="n">
        <v>13476</v>
      </c>
    </row>
    <row r="231" customFormat="false" ht="15" hidden="false" customHeight="true" outlineLevel="0" collapsed="false">
      <c r="A231" s="7" t="s">
        <v>327</v>
      </c>
      <c r="B231" s="8" t="n">
        <v>44913</v>
      </c>
      <c r="C231" s="7" t="s">
        <v>52</v>
      </c>
      <c r="D231" s="7" t="s">
        <v>29</v>
      </c>
      <c r="E231" s="7" t="s">
        <v>77</v>
      </c>
      <c r="F231" s="7" t="s">
        <v>78</v>
      </c>
      <c r="G231" s="9" t="s">
        <v>79</v>
      </c>
      <c r="H231" s="7" t="n">
        <v>5</v>
      </c>
      <c r="I231" s="10" t="n">
        <v>1220</v>
      </c>
      <c r="J231" s="10" t="n">
        <v>900</v>
      </c>
      <c r="K231" s="7" t="n">
        <v>0</v>
      </c>
      <c r="L231" s="7" t="s">
        <v>20</v>
      </c>
      <c r="M231" s="10" t="n">
        <v>6100</v>
      </c>
      <c r="N231" s="10" t="n">
        <v>1600</v>
      </c>
    </row>
    <row r="232" customFormat="false" ht="15" hidden="false" customHeight="true" outlineLevel="0" collapsed="false">
      <c r="A232" s="3" t="s">
        <v>328</v>
      </c>
      <c r="B232" s="4" t="n">
        <v>44914</v>
      </c>
      <c r="C232" s="3" t="s">
        <v>94</v>
      </c>
      <c r="D232" s="3" t="s">
        <v>48</v>
      </c>
      <c r="E232" s="3" t="s">
        <v>77</v>
      </c>
      <c r="F232" s="3" t="s">
        <v>152</v>
      </c>
      <c r="G232" s="5" t="s">
        <v>153</v>
      </c>
      <c r="H232" s="3" t="n">
        <v>7</v>
      </c>
      <c r="I232" s="6" t="n">
        <v>489</v>
      </c>
      <c r="J232" s="6" t="n">
        <v>350</v>
      </c>
      <c r="K232" s="3" t="n">
        <v>0</v>
      </c>
      <c r="L232" s="3" t="s">
        <v>20</v>
      </c>
      <c r="M232" s="6" t="n">
        <v>3423</v>
      </c>
      <c r="N232" s="6" t="n">
        <v>973</v>
      </c>
    </row>
    <row r="233" customFormat="false" ht="15" hidden="false" customHeight="true" outlineLevel="0" collapsed="false">
      <c r="A233" s="7" t="s">
        <v>329</v>
      </c>
      <c r="B233" s="8" t="n">
        <v>44916</v>
      </c>
      <c r="C233" s="7" t="s">
        <v>28</v>
      </c>
      <c r="D233" s="7" t="s">
        <v>29</v>
      </c>
      <c r="E233" s="7" t="s">
        <v>39</v>
      </c>
      <c r="F233" s="7" t="s">
        <v>220</v>
      </c>
      <c r="G233" s="9" t="s">
        <v>221</v>
      </c>
      <c r="H233" s="7" t="n">
        <v>3</v>
      </c>
      <c r="I233" s="10" t="n">
        <v>218</v>
      </c>
      <c r="J233" s="10" t="n">
        <v>180</v>
      </c>
      <c r="K233" s="7" t="n">
        <v>38</v>
      </c>
      <c r="L233" s="7" t="s">
        <v>26</v>
      </c>
      <c r="M233" s="10" t="n">
        <v>654</v>
      </c>
      <c r="N233" s="10" t="n">
        <v>114</v>
      </c>
    </row>
    <row r="234" customFormat="false" ht="15" hidden="false" customHeight="true" outlineLevel="0" collapsed="false">
      <c r="A234" s="3" t="s">
        <v>330</v>
      </c>
      <c r="B234" s="4" t="n">
        <v>44917</v>
      </c>
      <c r="C234" s="3" t="s">
        <v>22</v>
      </c>
      <c r="D234" s="3" t="s">
        <v>16</v>
      </c>
      <c r="E234" s="3" t="s">
        <v>77</v>
      </c>
      <c r="F234" s="3" t="s">
        <v>180</v>
      </c>
      <c r="G234" s="5" t="s">
        <v>181</v>
      </c>
      <c r="H234" s="3" t="n">
        <v>10</v>
      </c>
      <c r="I234" s="6" t="n">
        <v>257</v>
      </c>
      <c r="J234" s="6" t="n">
        <v>180</v>
      </c>
      <c r="K234" s="3" t="n">
        <v>42</v>
      </c>
      <c r="L234" s="3" t="s">
        <v>20</v>
      </c>
      <c r="M234" s="6" t="n">
        <v>2570</v>
      </c>
      <c r="N234" s="6" t="n">
        <v>770</v>
      </c>
    </row>
    <row r="235" customFormat="false" ht="15" hidden="false" customHeight="true" outlineLevel="0" collapsed="false">
      <c r="A235" s="7" t="s">
        <v>331</v>
      </c>
      <c r="B235" s="8" t="n">
        <v>44920</v>
      </c>
      <c r="C235" s="7" t="s">
        <v>111</v>
      </c>
      <c r="D235" s="7" t="s">
        <v>29</v>
      </c>
      <c r="E235" s="7" t="s">
        <v>39</v>
      </c>
      <c r="F235" s="7" t="s">
        <v>143</v>
      </c>
      <c r="G235" s="9" t="s">
        <v>144</v>
      </c>
      <c r="H235" s="7" t="n">
        <v>12</v>
      </c>
      <c r="I235" s="10" t="n">
        <v>329</v>
      </c>
      <c r="J235" s="10" t="n">
        <v>280</v>
      </c>
      <c r="K235" s="7" t="n">
        <v>9</v>
      </c>
      <c r="L235" s="7" t="s">
        <v>26</v>
      </c>
      <c r="M235" s="10" t="n">
        <v>3948</v>
      </c>
      <c r="N235" s="10" t="n">
        <v>588</v>
      </c>
    </row>
    <row r="236" customFormat="false" ht="15" hidden="false" customHeight="true" outlineLevel="0" collapsed="false">
      <c r="A236" s="3" t="s">
        <v>332</v>
      </c>
      <c r="B236" s="4" t="n">
        <v>44920</v>
      </c>
      <c r="C236" s="3" t="s">
        <v>47</v>
      </c>
      <c r="D236" s="3" t="s">
        <v>48</v>
      </c>
      <c r="E236" s="3" t="s">
        <v>77</v>
      </c>
      <c r="F236" s="3" t="s">
        <v>180</v>
      </c>
      <c r="G236" s="5" t="s">
        <v>181</v>
      </c>
      <c r="H236" s="3" t="n">
        <v>5</v>
      </c>
      <c r="I236" s="6" t="n">
        <v>247</v>
      </c>
      <c r="J236" s="6" t="n">
        <v>180</v>
      </c>
      <c r="K236" s="3" t="n">
        <v>21</v>
      </c>
      <c r="L236" s="3" t="s">
        <v>26</v>
      </c>
      <c r="M236" s="6" t="n">
        <v>1235</v>
      </c>
      <c r="N236" s="6" t="n">
        <v>335</v>
      </c>
    </row>
    <row r="237" customFormat="false" ht="15" hidden="false" customHeight="true" outlineLevel="0" collapsed="false">
      <c r="A237" s="7" t="s">
        <v>333</v>
      </c>
      <c r="B237" s="8" t="n">
        <v>44920</v>
      </c>
      <c r="C237" s="7" t="s">
        <v>15</v>
      </c>
      <c r="D237" s="7" t="s">
        <v>16</v>
      </c>
      <c r="E237" s="7" t="s">
        <v>30</v>
      </c>
      <c r="F237" s="7" t="s">
        <v>87</v>
      </c>
      <c r="G237" s="9" t="s">
        <v>88</v>
      </c>
      <c r="H237" s="7" t="n">
        <v>8</v>
      </c>
      <c r="I237" s="10" t="n">
        <v>1014</v>
      </c>
      <c r="J237" s="10" t="n">
        <v>700</v>
      </c>
      <c r="K237" s="7" t="n">
        <v>36</v>
      </c>
      <c r="L237" s="7" t="s">
        <v>26</v>
      </c>
      <c r="M237" s="10" t="n">
        <v>8112</v>
      </c>
      <c r="N237" s="10" t="n">
        <v>2512</v>
      </c>
    </row>
    <row r="238" customFormat="false" ht="15" hidden="false" customHeight="true" outlineLevel="0" collapsed="false">
      <c r="A238" s="3" t="s">
        <v>334</v>
      </c>
      <c r="B238" s="4" t="n">
        <v>44922</v>
      </c>
      <c r="C238" s="3" t="s">
        <v>15</v>
      </c>
      <c r="D238" s="3" t="s">
        <v>16</v>
      </c>
      <c r="E238" s="3" t="s">
        <v>62</v>
      </c>
      <c r="F238" s="3" t="s">
        <v>84</v>
      </c>
      <c r="G238" s="5" t="s">
        <v>85</v>
      </c>
      <c r="H238" s="3" t="n">
        <v>15</v>
      </c>
      <c r="I238" s="6" t="n">
        <v>488</v>
      </c>
      <c r="J238" s="6" t="n">
        <v>350</v>
      </c>
      <c r="K238" s="3" t="n">
        <v>20</v>
      </c>
      <c r="L238" s="3" t="s">
        <v>26</v>
      </c>
      <c r="M238" s="6" t="n">
        <v>7320</v>
      </c>
      <c r="N238" s="6" t="n">
        <v>2070</v>
      </c>
    </row>
    <row r="239" customFormat="false" ht="15" hidden="false" customHeight="true" outlineLevel="0" collapsed="false">
      <c r="A239" s="7" t="s">
        <v>335</v>
      </c>
      <c r="B239" s="8" t="n">
        <v>44923</v>
      </c>
      <c r="C239" s="7" t="s">
        <v>52</v>
      </c>
      <c r="D239" s="7" t="s">
        <v>29</v>
      </c>
      <c r="E239" s="7" t="s">
        <v>62</v>
      </c>
      <c r="F239" s="7" t="s">
        <v>84</v>
      </c>
      <c r="G239" s="9" t="s">
        <v>85</v>
      </c>
      <c r="H239" s="7" t="n">
        <v>8</v>
      </c>
      <c r="I239" s="10" t="n">
        <v>457</v>
      </c>
      <c r="J239" s="10" t="n">
        <v>350</v>
      </c>
      <c r="K239" s="7" t="n">
        <v>0</v>
      </c>
      <c r="L239" s="7" t="s">
        <v>20</v>
      </c>
      <c r="M239" s="10" t="n">
        <v>3656</v>
      </c>
      <c r="N239" s="10" t="n">
        <v>856</v>
      </c>
    </row>
    <row r="240" customFormat="false" ht="15" hidden="false" customHeight="true" outlineLevel="0" collapsed="false">
      <c r="A240" s="3" t="s">
        <v>336</v>
      </c>
      <c r="B240" s="4" t="n">
        <v>44924</v>
      </c>
      <c r="C240" s="3" t="s">
        <v>28</v>
      </c>
      <c r="D240" s="3" t="s">
        <v>29</v>
      </c>
      <c r="E240" s="3" t="s">
        <v>23</v>
      </c>
      <c r="F240" s="3" t="s">
        <v>90</v>
      </c>
      <c r="G240" s="5" t="s">
        <v>91</v>
      </c>
      <c r="H240" s="3" t="n">
        <v>9</v>
      </c>
      <c r="I240" s="6" t="n">
        <v>765</v>
      </c>
      <c r="J240" s="6" t="n">
        <v>600</v>
      </c>
      <c r="K240" s="3" t="n">
        <v>3</v>
      </c>
      <c r="L240" s="3" t="s">
        <v>20</v>
      </c>
      <c r="M240" s="6" t="n">
        <v>6885</v>
      </c>
      <c r="N240" s="6" t="n">
        <v>1485</v>
      </c>
    </row>
    <row r="241" customFormat="false" ht="15" hidden="false" customHeight="true" outlineLevel="0" collapsed="false">
      <c r="A241" s="7" t="s">
        <v>337</v>
      </c>
      <c r="B241" s="8" t="n">
        <v>44924</v>
      </c>
      <c r="C241" s="7" t="s">
        <v>47</v>
      </c>
      <c r="D241" s="7" t="s">
        <v>48</v>
      </c>
      <c r="E241" s="7" t="s">
        <v>17</v>
      </c>
      <c r="F241" s="7" t="s">
        <v>59</v>
      </c>
      <c r="G241" s="9" t="s">
        <v>60</v>
      </c>
      <c r="H241" s="7" t="n">
        <v>3</v>
      </c>
      <c r="I241" s="10" t="n">
        <v>387</v>
      </c>
      <c r="J241" s="10" t="n">
        <v>280</v>
      </c>
      <c r="K241" s="7" t="n">
        <v>40</v>
      </c>
      <c r="L241" s="7" t="s">
        <v>20</v>
      </c>
      <c r="M241" s="10" t="n">
        <v>1161</v>
      </c>
      <c r="N241" s="10" t="n">
        <v>321</v>
      </c>
    </row>
    <row r="242" customFormat="false" ht="15" hidden="false" customHeight="true" outlineLevel="0" collapsed="false">
      <c r="A242" s="3" t="s">
        <v>338</v>
      </c>
      <c r="B242" s="4" t="n">
        <v>44927</v>
      </c>
      <c r="C242" s="3" t="s">
        <v>15</v>
      </c>
      <c r="D242" s="3" t="s">
        <v>16</v>
      </c>
      <c r="E242" s="3" t="s">
        <v>17</v>
      </c>
      <c r="F242" s="3" t="s">
        <v>54</v>
      </c>
      <c r="G242" s="5" t="s">
        <v>55</v>
      </c>
      <c r="H242" s="3" t="n">
        <v>7</v>
      </c>
      <c r="I242" s="6" t="n">
        <v>601</v>
      </c>
      <c r="J242" s="6" t="n">
        <v>450</v>
      </c>
      <c r="K242" s="3" t="n">
        <v>22</v>
      </c>
      <c r="L242" s="3" t="s">
        <v>26</v>
      </c>
      <c r="M242" s="6" t="n">
        <v>4207</v>
      </c>
      <c r="N242" s="6" t="n">
        <v>1057</v>
      </c>
    </row>
    <row r="243" customFormat="false" ht="15" hidden="false" customHeight="true" outlineLevel="0" collapsed="false">
      <c r="A243" s="7" t="s">
        <v>339</v>
      </c>
      <c r="B243" s="8" t="n">
        <v>44928</v>
      </c>
      <c r="C243" s="7" t="s">
        <v>22</v>
      </c>
      <c r="D243" s="7" t="s">
        <v>16</v>
      </c>
      <c r="E243" s="7" t="s">
        <v>30</v>
      </c>
      <c r="F243" s="7" t="s">
        <v>36</v>
      </c>
      <c r="G243" s="9" t="s">
        <v>37</v>
      </c>
      <c r="H243" s="7" t="n">
        <v>8</v>
      </c>
      <c r="I243" s="10" t="n">
        <v>631</v>
      </c>
      <c r="J243" s="10" t="n">
        <v>450</v>
      </c>
      <c r="K243" s="7" t="n">
        <v>3</v>
      </c>
      <c r="L243" s="7" t="s">
        <v>26</v>
      </c>
      <c r="M243" s="10" t="n">
        <v>5048</v>
      </c>
      <c r="N243" s="10" t="n">
        <v>1448</v>
      </c>
    </row>
    <row r="244" customFormat="false" ht="15" hidden="false" customHeight="true" outlineLevel="0" collapsed="false">
      <c r="A244" s="3" t="s">
        <v>340</v>
      </c>
      <c r="B244" s="4" t="n">
        <v>44929</v>
      </c>
      <c r="C244" s="3" t="s">
        <v>111</v>
      </c>
      <c r="D244" s="3" t="s">
        <v>29</v>
      </c>
      <c r="E244" s="3" t="s">
        <v>30</v>
      </c>
      <c r="F244" s="3" t="s">
        <v>31</v>
      </c>
      <c r="G244" s="5" t="s">
        <v>32</v>
      </c>
      <c r="H244" s="3" t="n">
        <v>5</v>
      </c>
      <c r="I244" s="6" t="n">
        <v>1709</v>
      </c>
      <c r="J244" s="6" t="n">
        <v>1200</v>
      </c>
      <c r="K244" s="3" t="n">
        <v>35</v>
      </c>
      <c r="L244" s="3" t="s">
        <v>26</v>
      </c>
      <c r="M244" s="6" t="n">
        <v>8545</v>
      </c>
      <c r="N244" s="6" t="n">
        <v>2545</v>
      </c>
    </row>
    <row r="245" customFormat="false" ht="15" hidden="false" customHeight="true" outlineLevel="0" collapsed="false">
      <c r="A245" s="7" t="s">
        <v>341</v>
      </c>
      <c r="B245" s="8" t="n">
        <v>44929</v>
      </c>
      <c r="C245" s="7" t="s">
        <v>111</v>
      </c>
      <c r="D245" s="7" t="s">
        <v>29</v>
      </c>
      <c r="E245" s="7" t="s">
        <v>30</v>
      </c>
      <c r="F245" s="7" t="s">
        <v>31</v>
      </c>
      <c r="G245" s="9" t="s">
        <v>32</v>
      </c>
      <c r="H245" s="7" t="n">
        <v>13</v>
      </c>
      <c r="I245" s="10" t="n">
        <v>1696</v>
      </c>
      <c r="J245" s="10" t="n">
        <v>1200</v>
      </c>
      <c r="K245" s="7" t="n">
        <v>7</v>
      </c>
      <c r="L245" s="7" t="s">
        <v>26</v>
      </c>
      <c r="M245" s="10" t="n">
        <v>22048</v>
      </c>
      <c r="N245" s="10" t="n">
        <v>6448</v>
      </c>
    </row>
    <row r="246" customFormat="false" ht="15" hidden="false" customHeight="true" outlineLevel="0" collapsed="false">
      <c r="A246" s="3" t="s">
        <v>342</v>
      </c>
      <c r="B246" s="4" t="n">
        <v>44930</v>
      </c>
      <c r="C246" s="3" t="s">
        <v>94</v>
      </c>
      <c r="D246" s="3" t="s">
        <v>48</v>
      </c>
      <c r="E246" s="3" t="s">
        <v>17</v>
      </c>
      <c r="F246" s="3" t="s">
        <v>59</v>
      </c>
      <c r="G246" s="5" t="s">
        <v>60</v>
      </c>
      <c r="H246" s="3" t="n">
        <v>15</v>
      </c>
      <c r="I246" s="6" t="n">
        <v>392</v>
      </c>
      <c r="J246" s="6" t="n">
        <v>280</v>
      </c>
      <c r="K246" s="3" t="n">
        <v>0</v>
      </c>
      <c r="L246" s="3" t="s">
        <v>20</v>
      </c>
      <c r="M246" s="6" t="n">
        <v>5880</v>
      </c>
      <c r="N246" s="6" t="n">
        <v>1680</v>
      </c>
    </row>
    <row r="247" customFormat="false" ht="15" hidden="false" customHeight="true" outlineLevel="0" collapsed="false">
      <c r="A247" s="7" t="s">
        <v>343</v>
      </c>
      <c r="B247" s="8" t="n">
        <v>44931</v>
      </c>
      <c r="C247" s="7" t="s">
        <v>28</v>
      </c>
      <c r="D247" s="7" t="s">
        <v>29</v>
      </c>
      <c r="E247" s="7" t="s">
        <v>62</v>
      </c>
      <c r="F247" s="7" t="s">
        <v>84</v>
      </c>
      <c r="G247" s="9" t="s">
        <v>85</v>
      </c>
      <c r="H247" s="7" t="n">
        <v>4</v>
      </c>
      <c r="I247" s="10" t="n">
        <v>453</v>
      </c>
      <c r="J247" s="10" t="n">
        <v>350</v>
      </c>
      <c r="K247" s="7" t="n">
        <v>48</v>
      </c>
      <c r="L247" s="7" t="s">
        <v>26</v>
      </c>
      <c r="M247" s="10" t="n">
        <v>1812</v>
      </c>
      <c r="N247" s="10" t="n">
        <v>412</v>
      </c>
    </row>
    <row r="248" customFormat="false" ht="15" hidden="false" customHeight="true" outlineLevel="0" collapsed="false">
      <c r="A248" s="3" t="s">
        <v>344</v>
      </c>
      <c r="B248" s="4" t="n">
        <v>44932</v>
      </c>
      <c r="C248" s="3" t="s">
        <v>15</v>
      </c>
      <c r="D248" s="3" t="s">
        <v>16</v>
      </c>
      <c r="E248" s="3" t="s">
        <v>30</v>
      </c>
      <c r="F248" s="3" t="s">
        <v>118</v>
      </c>
      <c r="G248" s="5" t="s">
        <v>119</v>
      </c>
      <c r="H248" s="3" t="n">
        <v>12</v>
      </c>
      <c r="I248" s="6" t="n">
        <v>407</v>
      </c>
      <c r="J248" s="6" t="n">
        <v>280</v>
      </c>
      <c r="K248" s="3" t="n">
        <v>36</v>
      </c>
      <c r="L248" s="3" t="s">
        <v>20</v>
      </c>
      <c r="M248" s="6" t="n">
        <v>4884</v>
      </c>
      <c r="N248" s="6" t="n">
        <v>1524</v>
      </c>
    </row>
    <row r="249" customFormat="false" ht="15" hidden="false" customHeight="true" outlineLevel="0" collapsed="false">
      <c r="A249" s="7" t="s">
        <v>345</v>
      </c>
      <c r="B249" s="8" t="n">
        <v>44933</v>
      </c>
      <c r="C249" s="7" t="s">
        <v>111</v>
      </c>
      <c r="D249" s="7" t="s">
        <v>29</v>
      </c>
      <c r="E249" s="7" t="s">
        <v>39</v>
      </c>
      <c r="F249" s="7" t="s">
        <v>143</v>
      </c>
      <c r="G249" s="9" t="s">
        <v>144</v>
      </c>
      <c r="H249" s="7" t="n">
        <v>4</v>
      </c>
      <c r="I249" s="10" t="n">
        <v>337</v>
      </c>
      <c r="J249" s="10" t="n">
        <v>280</v>
      </c>
      <c r="K249" s="7" t="n">
        <v>34</v>
      </c>
      <c r="L249" s="7" t="s">
        <v>26</v>
      </c>
      <c r="M249" s="10" t="n">
        <v>1348</v>
      </c>
      <c r="N249" s="10" t="n">
        <v>228</v>
      </c>
    </row>
    <row r="250" customFormat="false" ht="15" hidden="false" customHeight="true" outlineLevel="0" collapsed="false">
      <c r="A250" s="3" t="s">
        <v>346</v>
      </c>
      <c r="B250" s="4" t="n">
        <v>44933</v>
      </c>
      <c r="C250" s="3" t="s">
        <v>47</v>
      </c>
      <c r="D250" s="3" t="s">
        <v>48</v>
      </c>
      <c r="E250" s="3" t="s">
        <v>77</v>
      </c>
      <c r="F250" s="3" t="s">
        <v>129</v>
      </c>
      <c r="G250" s="5" t="s">
        <v>130</v>
      </c>
      <c r="H250" s="3" t="n">
        <v>11</v>
      </c>
      <c r="I250" s="6" t="n">
        <v>159</v>
      </c>
      <c r="J250" s="6" t="n">
        <v>120</v>
      </c>
      <c r="K250" s="3" t="n">
        <v>38</v>
      </c>
      <c r="L250" s="3" t="s">
        <v>26</v>
      </c>
      <c r="M250" s="6" t="n">
        <v>1749</v>
      </c>
      <c r="N250" s="6" t="n">
        <v>429</v>
      </c>
    </row>
    <row r="251" customFormat="false" ht="15" hidden="false" customHeight="true" outlineLevel="0" collapsed="false">
      <c r="A251" s="7" t="s">
        <v>347</v>
      </c>
      <c r="B251" s="8" t="n">
        <v>44938</v>
      </c>
      <c r="C251" s="7" t="s">
        <v>58</v>
      </c>
      <c r="D251" s="7" t="s">
        <v>48</v>
      </c>
      <c r="E251" s="7" t="s">
        <v>30</v>
      </c>
      <c r="F251" s="7" t="s">
        <v>118</v>
      </c>
      <c r="G251" s="9" t="s">
        <v>119</v>
      </c>
      <c r="H251" s="7" t="n">
        <v>7</v>
      </c>
      <c r="I251" s="10" t="n">
        <v>389</v>
      </c>
      <c r="J251" s="10" t="n">
        <v>280</v>
      </c>
      <c r="K251" s="7" t="n">
        <v>1</v>
      </c>
      <c r="L251" s="7" t="s">
        <v>26</v>
      </c>
      <c r="M251" s="10" t="n">
        <v>2723</v>
      </c>
      <c r="N251" s="10" t="n">
        <v>763</v>
      </c>
    </row>
    <row r="252" customFormat="false" ht="15" hidden="false" customHeight="true" outlineLevel="0" collapsed="false">
      <c r="A252" s="3" t="s">
        <v>348</v>
      </c>
      <c r="B252" s="4" t="n">
        <v>44939</v>
      </c>
      <c r="C252" s="3" t="s">
        <v>52</v>
      </c>
      <c r="D252" s="3" t="s">
        <v>29</v>
      </c>
      <c r="E252" s="3" t="s">
        <v>77</v>
      </c>
      <c r="F252" s="3" t="s">
        <v>81</v>
      </c>
      <c r="G252" s="5" t="s">
        <v>82</v>
      </c>
      <c r="H252" s="3" t="n">
        <v>4</v>
      </c>
      <c r="I252" s="6" t="n">
        <v>833</v>
      </c>
      <c r="J252" s="6" t="n">
        <v>600</v>
      </c>
      <c r="K252" s="3" t="n">
        <v>50</v>
      </c>
      <c r="L252" s="3" t="s">
        <v>26</v>
      </c>
      <c r="M252" s="6" t="n">
        <v>3332</v>
      </c>
      <c r="N252" s="6" t="n">
        <v>932</v>
      </c>
    </row>
    <row r="253" customFormat="false" ht="15" hidden="false" customHeight="true" outlineLevel="0" collapsed="false">
      <c r="A253" s="7" t="s">
        <v>349</v>
      </c>
      <c r="B253" s="8" t="n">
        <v>44939</v>
      </c>
      <c r="C253" s="7" t="s">
        <v>15</v>
      </c>
      <c r="D253" s="7" t="s">
        <v>16</v>
      </c>
      <c r="E253" s="7" t="s">
        <v>39</v>
      </c>
      <c r="F253" s="7" t="s">
        <v>40</v>
      </c>
      <c r="G253" s="9" t="s">
        <v>41</v>
      </c>
      <c r="H253" s="7" t="n">
        <v>13</v>
      </c>
      <c r="I253" s="10" t="n">
        <v>104</v>
      </c>
      <c r="J253" s="10" t="n">
        <v>90</v>
      </c>
      <c r="K253" s="7" t="n">
        <v>45</v>
      </c>
      <c r="L253" s="7" t="s">
        <v>20</v>
      </c>
      <c r="M253" s="10" t="n">
        <v>1352</v>
      </c>
      <c r="N253" s="10" t="n">
        <v>182</v>
      </c>
    </row>
    <row r="254" customFormat="false" ht="15" hidden="false" customHeight="true" outlineLevel="0" collapsed="false">
      <c r="A254" s="3" t="s">
        <v>350</v>
      </c>
      <c r="B254" s="4" t="n">
        <v>44940</v>
      </c>
      <c r="C254" s="3" t="s">
        <v>15</v>
      </c>
      <c r="D254" s="3" t="s">
        <v>16</v>
      </c>
      <c r="E254" s="3" t="s">
        <v>23</v>
      </c>
      <c r="F254" s="3" t="s">
        <v>49</v>
      </c>
      <c r="G254" s="5" t="s">
        <v>50</v>
      </c>
      <c r="H254" s="3" t="n">
        <v>12</v>
      </c>
      <c r="I254" s="6" t="n">
        <v>22937</v>
      </c>
      <c r="J254" s="6" t="n">
        <v>18000</v>
      </c>
      <c r="K254" s="3" t="n">
        <v>0</v>
      </c>
      <c r="L254" s="3" t="s">
        <v>20</v>
      </c>
      <c r="M254" s="6" t="n">
        <v>275244</v>
      </c>
      <c r="N254" s="6" t="n">
        <v>59244</v>
      </c>
    </row>
    <row r="255" customFormat="false" ht="15" hidden="false" customHeight="true" outlineLevel="0" collapsed="false">
      <c r="A255" s="7" t="s">
        <v>351</v>
      </c>
      <c r="B255" s="8" t="n">
        <v>44943</v>
      </c>
      <c r="C255" s="7" t="s">
        <v>47</v>
      </c>
      <c r="D255" s="7" t="s">
        <v>48</v>
      </c>
      <c r="E255" s="7" t="s">
        <v>17</v>
      </c>
      <c r="F255" s="7" t="s">
        <v>18</v>
      </c>
      <c r="G255" s="9" t="s">
        <v>19</v>
      </c>
      <c r="H255" s="7" t="n">
        <v>2</v>
      </c>
      <c r="I255" s="10" t="n">
        <v>1208</v>
      </c>
      <c r="J255" s="10" t="n">
        <v>900</v>
      </c>
      <c r="K255" s="7" t="n">
        <v>1</v>
      </c>
      <c r="L255" s="7" t="s">
        <v>26</v>
      </c>
      <c r="M255" s="10" t="n">
        <v>2416</v>
      </c>
      <c r="N255" s="10" t="n">
        <v>616</v>
      </c>
    </row>
    <row r="256" customFormat="false" ht="15" hidden="false" customHeight="true" outlineLevel="0" collapsed="false">
      <c r="A256" s="3" t="s">
        <v>352</v>
      </c>
      <c r="B256" s="4" t="n">
        <v>44945</v>
      </c>
      <c r="C256" s="3" t="s">
        <v>52</v>
      </c>
      <c r="D256" s="3" t="s">
        <v>29</v>
      </c>
      <c r="E256" s="3" t="s">
        <v>17</v>
      </c>
      <c r="F256" s="3" t="s">
        <v>54</v>
      </c>
      <c r="G256" s="5" t="s">
        <v>55</v>
      </c>
      <c r="H256" s="3" t="n">
        <v>6</v>
      </c>
      <c r="I256" s="6" t="n">
        <v>644</v>
      </c>
      <c r="J256" s="6" t="n">
        <v>450</v>
      </c>
      <c r="K256" s="3" t="n">
        <v>26</v>
      </c>
      <c r="L256" s="3" t="s">
        <v>26</v>
      </c>
      <c r="M256" s="6" t="n">
        <v>3864</v>
      </c>
      <c r="N256" s="6" t="n">
        <v>1164</v>
      </c>
    </row>
    <row r="257" customFormat="false" ht="15" hidden="false" customHeight="true" outlineLevel="0" collapsed="false">
      <c r="A257" s="7" t="s">
        <v>353</v>
      </c>
      <c r="B257" s="8" t="n">
        <v>44945</v>
      </c>
      <c r="C257" s="7" t="s">
        <v>47</v>
      </c>
      <c r="D257" s="7" t="s">
        <v>48</v>
      </c>
      <c r="E257" s="7" t="s">
        <v>62</v>
      </c>
      <c r="F257" s="7" t="s">
        <v>103</v>
      </c>
      <c r="G257" s="9" t="s">
        <v>104</v>
      </c>
      <c r="H257" s="7" t="n">
        <v>2</v>
      </c>
      <c r="I257" s="10" t="n">
        <v>120</v>
      </c>
      <c r="J257" s="10" t="n">
        <v>90</v>
      </c>
      <c r="K257" s="7" t="n">
        <v>38</v>
      </c>
      <c r="L257" s="7" t="s">
        <v>20</v>
      </c>
      <c r="M257" s="10" t="n">
        <v>240</v>
      </c>
      <c r="N257" s="10" t="n">
        <v>60</v>
      </c>
    </row>
    <row r="258" customFormat="false" ht="15" hidden="false" customHeight="true" outlineLevel="0" collapsed="false">
      <c r="A258" s="3" t="s">
        <v>354</v>
      </c>
      <c r="B258" s="4" t="n">
        <v>44946</v>
      </c>
      <c r="C258" s="3" t="s">
        <v>15</v>
      </c>
      <c r="D258" s="3" t="s">
        <v>16</v>
      </c>
      <c r="E258" s="3" t="s">
        <v>77</v>
      </c>
      <c r="F258" s="3" t="s">
        <v>180</v>
      </c>
      <c r="G258" s="5" t="s">
        <v>181</v>
      </c>
      <c r="H258" s="3" t="n">
        <v>8</v>
      </c>
      <c r="I258" s="6" t="n">
        <v>255</v>
      </c>
      <c r="J258" s="6" t="n">
        <v>180</v>
      </c>
      <c r="K258" s="3" t="n">
        <v>20</v>
      </c>
      <c r="L258" s="3" t="s">
        <v>26</v>
      </c>
      <c r="M258" s="6" t="n">
        <v>2040</v>
      </c>
      <c r="N258" s="6" t="n">
        <v>600</v>
      </c>
    </row>
    <row r="259" customFormat="false" ht="15" hidden="false" customHeight="true" outlineLevel="0" collapsed="false">
      <c r="A259" s="7" t="s">
        <v>355</v>
      </c>
      <c r="B259" s="8" t="n">
        <v>44949</v>
      </c>
      <c r="C259" s="7" t="s">
        <v>136</v>
      </c>
      <c r="D259" s="7" t="s">
        <v>35</v>
      </c>
      <c r="E259" s="7" t="s">
        <v>62</v>
      </c>
      <c r="F259" s="7" t="s">
        <v>63</v>
      </c>
      <c r="G259" s="9" t="s">
        <v>64</v>
      </c>
      <c r="H259" s="7" t="n">
        <v>12</v>
      </c>
      <c r="I259" s="10" t="n">
        <v>83</v>
      </c>
      <c r="J259" s="10" t="n">
        <v>60</v>
      </c>
      <c r="K259" s="7" t="n">
        <v>4</v>
      </c>
      <c r="L259" s="7" t="s">
        <v>26</v>
      </c>
      <c r="M259" s="10" t="n">
        <v>996</v>
      </c>
      <c r="N259" s="10" t="n">
        <v>276</v>
      </c>
    </row>
    <row r="260" customFormat="false" ht="15" hidden="false" customHeight="true" outlineLevel="0" collapsed="false">
      <c r="A260" s="3" t="s">
        <v>356</v>
      </c>
      <c r="B260" s="4" t="n">
        <v>44950</v>
      </c>
      <c r="C260" s="3" t="s">
        <v>43</v>
      </c>
      <c r="D260" s="3" t="s">
        <v>16</v>
      </c>
      <c r="E260" s="3" t="s">
        <v>23</v>
      </c>
      <c r="F260" s="3" t="s">
        <v>198</v>
      </c>
      <c r="G260" s="5" t="s">
        <v>199</v>
      </c>
      <c r="H260" s="3" t="n">
        <v>4</v>
      </c>
      <c r="I260" s="6" t="n">
        <v>1085</v>
      </c>
      <c r="J260" s="6" t="n">
        <v>900</v>
      </c>
      <c r="K260" s="3" t="n">
        <v>26</v>
      </c>
      <c r="L260" s="3" t="s">
        <v>26</v>
      </c>
      <c r="M260" s="6" t="n">
        <v>4340</v>
      </c>
      <c r="N260" s="6" t="n">
        <v>740</v>
      </c>
    </row>
    <row r="261" customFormat="false" ht="15" hidden="false" customHeight="true" outlineLevel="0" collapsed="false">
      <c r="A261" s="7" t="s">
        <v>357</v>
      </c>
      <c r="B261" s="8" t="n">
        <v>44951</v>
      </c>
      <c r="C261" s="7" t="s">
        <v>94</v>
      </c>
      <c r="D261" s="7" t="s">
        <v>48</v>
      </c>
      <c r="E261" s="7" t="s">
        <v>77</v>
      </c>
      <c r="F261" s="7" t="s">
        <v>78</v>
      </c>
      <c r="G261" s="9" t="s">
        <v>79</v>
      </c>
      <c r="H261" s="7" t="n">
        <v>14</v>
      </c>
      <c r="I261" s="10" t="n">
        <v>1261</v>
      </c>
      <c r="J261" s="10" t="n">
        <v>900</v>
      </c>
      <c r="K261" s="7" t="n">
        <v>49</v>
      </c>
      <c r="L261" s="7" t="s">
        <v>26</v>
      </c>
      <c r="M261" s="10" t="n">
        <v>17654</v>
      </c>
      <c r="N261" s="10" t="n">
        <v>5054</v>
      </c>
    </row>
    <row r="262" customFormat="false" ht="15" hidden="false" customHeight="true" outlineLevel="0" collapsed="false">
      <c r="A262" s="3" t="s">
        <v>358</v>
      </c>
      <c r="B262" s="4" t="n">
        <v>44952</v>
      </c>
      <c r="C262" s="3" t="s">
        <v>28</v>
      </c>
      <c r="D262" s="3" t="s">
        <v>29</v>
      </c>
      <c r="E262" s="3" t="s">
        <v>30</v>
      </c>
      <c r="F262" s="3" t="s">
        <v>31</v>
      </c>
      <c r="G262" s="5" t="s">
        <v>32</v>
      </c>
      <c r="H262" s="3" t="n">
        <v>9</v>
      </c>
      <c r="I262" s="6" t="n">
        <v>1721</v>
      </c>
      <c r="J262" s="6" t="n">
        <v>1200</v>
      </c>
      <c r="K262" s="3" t="n">
        <v>50</v>
      </c>
      <c r="L262" s="3" t="s">
        <v>26</v>
      </c>
      <c r="M262" s="6" t="n">
        <v>15489</v>
      </c>
      <c r="N262" s="6" t="n">
        <v>4689</v>
      </c>
    </row>
    <row r="263" customFormat="false" ht="15" hidden="false" customHeight="true" outlineLevel="0" collapsed="false">
      <c r="A263" s="7" t="s">
        <v>359</v>
      </c>
      <c r="B263" s="8" t="n">
        <v>44953</v>
      </c>
      <c r="C263" s="7" t="s">
        <v>52</v>
      </c>
      <c r="D263" s="7" t="s">
        <v>29</v>
      </c>
      <c r="E263" s="7" t="s">
        <v>30</v>
      </c>
      <c r="F263" s="7" t="s">
        <v>87</v>
      </c>
      <c r="G263" s="9" t="s">
        <v>88</v>
      </c>
      <c r="H263" s="7" t="n">
        <v>10</v>
      </c>
      <c r="I263" s="10" t="n">
        <v>1033</v>
      </c>
      <c r="J263" s="10" t="n">
        <v>700</v>
      </c>
      <c r="K263" s="7" t="n">
        <v>35</v>
      </c>
      <c r="L263" s="7" t="s">
        <v>20</v>
      </c>
      <c r="M263" s="10" t="n">
        <v>10330</v>
      </c>
      <c r="N263" s="10" t="n">
        <v>3330</v>
      </c>
    </row>
    <row r="264" customFormat="false" ht="15" hidden="false" customHeight="true" outlineLevel="0" collapsed="false">
      <c r="A264" s="3" t="s">
        <v>360</v>
      </c>
      <c r="B264" s="4" t="n">
        <v>44954</v>
      </c>
      <c r="C264" s="3" t="s">
        <v>58</v>
      </c>
      <c r="D264" s="3" t="s">
        <v>48</v>
      </c>
      <c r="E264" s="3" t="s">
        <v>39</v>
      </c>
      <c r="F264" s="3" t="s">
        <v>220</v>
      </c>
      <c r="G264" s="5" t="s">
        <v>221</v>
      </c>
      <c r="H264" s="3" t="n">
        <v>8</v>
      </c>
      <c r="I264" s="6" t="n">
        <v>220</v>
      </c>
      <c r="J264" s="6" t="n">
        <v>180</v>
      </c>
      <c r="K264" s="3" t="n">
        <v>35</v>
      </c>
      <c r="L264" s="3" t="s">
        <v>26</v>
      </c>
      <c r="M264" s="6" t="n">
        <v>1760</v>
      </c>
      <c r="N264" s="6" t="n">
        <v>320</v>
      </c>
    </row>
    <row r="265" customFormat="false" ht="15" hidden="false" customHeight="true" outlineLevel="0" collapsed="false">
      <c r="A265" s="7" t="s">
        <v>361</v>
      </c>
      <c r="B265" s="8" t="n">
        <v>44954</v>
      </c>
      <c r="C265" s="7" t="s">
        <v>28</v>
      </c>
      <c r="D265" s="7" t="s">
        <v>29</v>
      </c>
      <c r="E265" s="7" t="s">
        <v>23</v>
      </c>
      <c r="F265" s="7" t="s">
        <v>49</v>
      </c>
      <c r="G265" s="9" t="s">
        <v>50</v>
      </c>
      <c r="H265" s="7" t="n">
        <v>1</v>
      </c>
      <c r="I265" s="10" t="n">
        <v>22748</v>
      </c>
      <c r="J265" s="10" t="n">
        <v>18000</v>
      </c>
      <c r="K265" s="7" t="n">
        <v>8</v>
      </c>
      <c r="L265" s="7" t="s">
        <v>26</v>
      </c>
      <c r="M265" s="10" t="n">
        <v>22748</v>
      </c>
      <c r="N265" s="10" t="n">
        <v>4748</v>
      </c>
    </row>
    <row r="266" customFormat="false" ht="15" hidden="false" customHeight="true" outlineLevel="0" collapsed="false">
      <c r="A266" s="3" t="s">
        <v>362</v>
      </c>
      <c r="B266" s="4" t="n">
        <v>44954</v>
      </c>
      <c r="C266" s="3" t="s">
        <v>47</v>
      </c>
      <c r="D266" s="3" t="s">
        <v>48</v>
      </c>
      <c r="E266" s="3" t="s">
        <v>39</v>
      </c>
      <c r="F266" s="3" t="s">
        <v>220</v>
      </c>
      <c r="G266" s="5" t="s">
        <v>221</v>
      </c>
      <c r="H266" s="3" t="n">
        <v>9</v>
      </c>
      <c r="I266" s="6" t="n">
        <v>211</v>
      </c>
      <c r="J266" s="6" t="n">
        <v>180</v>
      </c>
      <c r="K266" s="3" t="n">
        <v>4</v>
      </c>
      <c r="L266" s="3" t="s">
        <v>26</v>
      </c>
      <c r="M266" s="6" t="n">
        <v>1899</v>
      </c>
      <c r="N266" s="6" t="n">
        <v>279</v>
      </c>
    </row>
    <row r="267" customFormat="false" ht="15" hidden="false" customHeight="true" outlineLevel="0" collapsed="false">
      <c r="A267" s="7" t="s">
        <v>363</v>
      </c>
      <c r="B267" s="8" t="n">
        <v>44954</v>
      </c>
      <c r="C267" s="7" t="s">
        <v>47</v>
      </c>
      <c r="D267" s="7" t="s">
        <v>48</v>
      </c>
      <c r="E267" s="7" t="s">
        <v>77</v>
      </c>
      <c r="F267" s="7" t="s">
        <v>152</v>
      </c>
      <c r="G267" s="9" t="s">
        <v>153</v>
      </c>
      <c r="H267" s="7" t="n">
        <v>15</v>
      </c>
      <c r="I267" s="10" t="n">
        <v>470</v>
      </c>
      <c r="J267" s="10" t="n">
        <v>350</v>
      </c>
      <c r="K267" s="7" t="n">
        <v>3</v>
      </c>
      <c r="L267" s="7" t="s">
        <v>20</v>
      </c>
      <c r="M267" s="10" t="n">
        <v>7050</v>
      </c>
      <c r="N267" s="10" t="n">
        <v>1800</v>
      </c>
    </row>
    <row r="268" customFormat="false" ht="15" hidden="false" customHeight="true" outlineLevel="0" collapsed="false">
      <c r="A268" s="3" t="s">
        <v>364</v>
      </c>
      <c r="B268" s="4" t="n">
        <v>44957</v>
      </c>
      <c r="C268" s="3" t="s">
        <v>136</v>
      </c>
      <c r="D268" s="3" t="s">
        <v>35</v>
      </c>
      <c r="E268" s="3" t="s">
        <v>39</v>
      </c>
      <c r="F268" s="3" t="s">
        <v>143</v>
      </c>
      <c r="G268" s="5" t="s">
        <v>144</v>
      </c>
      <c r="H268" s="3" t="n">
        <v>7</v>
      </c>
      <c r="I268" s="6" t="n">
        <v>340</v>
      </c>
      <c r="J268" s="6" t="n">
        <v>280</v>
      </c>
      <c r="K268" s="3" t="n">
        <v>34</v>
      </c>
      <c r="L268" s="3" t="s">
        <v>26</v>
      </c>
      <c r="M268" s="6" t="n">
        <v>2380</v>
      </c>
      <c r="N268" s="6" t="n">
        <v>420</v>
      </c>
    </row>
    <row r="269" customFormat="false" ht="15" hidden="false" customHeight="true" outlineLevel="0" collapsed="false">
      <c r="A269" s="7" t="s">
        <v>365</v>
      </c>
      <c r="B269" s="8" t="n">
        <v>44960</v>
      </c>
      <c r="C269" s="7" t="s">
        <v>58</v>
      </c>
      <c r="D269" s="7" t="s">
        <v>48</v>
      </c>
      <c r="E269" s="7" t="s">
        <v>17</v>
      </c>
      <c r="F269" s="7" t="s">
        <v>18</v>
      </c>
      <c r="G269" s="9" t="s">
        <v>19</v>
      </c>
      <c r="H269" s="7" t="n">
        <v>10</v>
      </c>
      <c r="I269" s="10" t="n">
        <v>1235</v>
      </c>
      <c r="J269" s="10" t="n">
        <v>900</v>
      </c>
      <c r="K269" s="7" t="n">
        <v>42</v>
      </c>
      <c r="L269" s="7" t="s">
        <v>20</v>
      </c>
      <c r="M269" s="10" t="n">
        <v>12350</v>
      </c>
      <c r="N269" s="10" t="n">
        <v>3350</v>
      </c>
    </row>
    <row r="270" customFormat="false" ht="15" hidden="false" customHeight="true" outlineLevel="0" collapsed="false">
      <c r="A270" s="3" t="s">
        <v>366</v>
      </c>
      <c r="B270" s="4" t="n">
        <v>44962</v>
      </c>
      <c r="C270" s="3" t="s">
        <v>28</v>
      </c>
      <c r="D270" s="3" t="s">
        <v>29</v>
      </c>
      <c r="E270" s="3" t="s">
        <v>77</v>
      </c>
      <c r="F270" s="3" t="s">
        <v>129</v>
      </c>
      <c r="G270" s="5" t="s">
        <v>130</v>
      </c>
      <c r="H270" s="3" t="n">
        <v>12</v>
      </c>
      <c r="I270" s="6" t="n">
        <v>167</v>
      </c>
      <c r="J270" s="6" t="n">
        <v>120</v>
      </c>
      <c r="K270" s="3" t="n">
        <v>20</v>
      </c>
      <c r="L270" s="3" t="s">
        <v>26</v>
      </c>
      <c r="M270" s="6" t="n">
        <v>2004</v>
      </c>
      <c r="N270" s="6" t="n">
        <v>564</v>
      </c>
    </row>
    <row r="271" customFormat="false" ht="15" hidden="false" customHeight="true" outlineLevel="0" collapsed="false">
      <c r="A271" s="7" t="s">
        <v>367</v>
      </c>
      <c r="B271" s="8" t="n">
        <v>44962</v>
      </c>
      <c r="C271" s="7" t="s">
        <v>43</v>
      </c>
      <c r="D271" s="7" t="s">
        <v>16</v>
      </c>
      <c r="E271" s="7" t="s">
        <v>39</v>
      </c>
      <c r="F271" s="7" t="s">
        <v>143</v>
      </c>
      <c r="G271" s="9" t="s">
        <v>144</v>
      </c>
      <c r="H271" s="7" t="n">
        <v>9</v>
      </c>
      <c r="I271" s="10" t="n">
        <v>324</v>
      </c>
      <c r="J271" s="10" t="n">
        <v>280</v>
      </c>
      <c r="K271" s="7" t="n">
        <v>15</v>
      </c>
      <c r="L271" s="7" t="s">
        <v>20</v>
      </c>
      <c r="M271" s="10" t="n">
        <v>2916</v>
      </c>
      <c r="N271" s="10" t="n">
        <v>396</v>
      </c>
    </row>
    <row r="272" customFormat="false" ht="15" hidden="false" customHeight="true" outlineLevel="0" collapsed="false">
      <c r="A272" s="3" t="s">
        <v>368</v>
      </c>
      <c r="B272" s="4" t="n">
        <v>44962</v>
      </c>
      <c r="C272" s="3" t="s">
        <v>111</v>
      </c>
      <c r="D272" s="3" t="s">
        <v>29</v>
      </c>
      <c r="E272" s="3" t="s">
        <v>39</v>
      </c>
      <c r="F272" s="3" t="s">
        <v>161</v>
      </c>
      <c r="G272" s="5" t="s">
        <v>162</v>
      </c>
      <c r="H272" s="3" t="n">
        <v>12</v>
      </c>
      <c r="I272" s="6" t="n">
        <v>398</v>
      </c>
      <c r="J272" s="6" t="n">
        <v>350</v>
      </c>
      <c r="K272" s="3" t="n">
        <v>50</v>
      </c>
      <c r="L272" s="3" t="s">
        <v>20</v>
      </c>
      <c r="M272" s="6" t="n">
        <v>4776</v>
      </c>
      <c r="N272" s="6" t="n">
        <v>576</v>
      </c>
    </row>
    <row r="273" customFormat="false" ht="15" hidden="false" customHeight="true" outlineLevel="0" collapsed="false">
      <c r="A273" s="7" t="s">
        <v>369</v>
      </c>
      <c r="B273" s="8" t="n">
        <v>44963</v>
      </c>
      <c r="C273" s="7" t="s">
        <v>22</v>
      </c>
      <c r="D273" s="7" t="s">
        <v>16</v>
      </c>
      <c r="E273" s="7" t="s">
        <v>39</v>
      </c>
      <c r="F273" s="7" t="s">
        <v>220</v>
      </c>
      <c r="G273" s="9" t="s">
        <v>221</v>
      </c>
      <c r="H273" s="7" t="n">
        <v>11</v>
      </c>
      <c r="I273" s="10" t="n">
        <v>213</v>
      </c>
      <c r="J273" s="10" t="n">
        <v>180</v>
      </c>
      <c r="K273" s="7" t="n">
        <v>44</v>
      </c>
      <c r="L273" s="7" t="s">
        <v>20</v>
      </c>
      <c r="M273" s="10" t="n">
        <v>2343</v>
      </c>
      <c r="N273" s="10" t="n">
        <v>363</v>
      </c>
    </row>
    <row r="274" customFormat="false" ht="15" hidden="false" customHeight="true" outlineLevel="0" collapsed="false">
      <c r="A274" s="3" t="s">
        <v>370</v>
      </c>
      <c r="B274" s="4" t="n">
        <v>44964</v>
      </c>
      <c r="C274" s="3" t="s">
        <v>58</v>
      </c>
      <c r="D274" s="3" t="s">
        <v>48</v>
      </c>
      <c r="E274" s="3" t="s">
        <v>77</v>
      </c>
      <c r="F274" s="3" t="s">
        <v>78</v>
      </c>
      <c r="G274" s="5" t="s">
        <v>79</v>
      </c>
      <c r="H274" s="3" t="n">
        <v>10</v>
      </c>
      <c r="I274" s="6" t="n">
        <v>1193</v>
      </c>
      <c r="J274" s="6" t="n">
        <v>900</v>
      </c>
      <c r="K274" s="3" t="n">
        <v>2</v>
      </c>
      <c r="L274" s="3" t="s">
        <v>26</v>
      </c>
      <c r="M274" s="6" t="n">
        <v>11930</v>
      </c>
      <c r="N274" s="6" t="n">
        <v>2930</v>
      </c>
    </row>
    <row r="275" customFormat="false" ht="15" hidden="false" customHeight="true" outlineLevel="0" collapsed="false">
      <c r="A275" s="7" t="s">
        <v>371</v>
      </c>
      <c r="B275" s="8" t="n">
        <v>44966</v>
      </c>
      <c r="C275" s="7" t="s">
        <v>47</v>
      </c>
      <c r="D275" s="7" t="s">
        <v>48</v>
      </c>
      <c r="E275" s="7" t="s">
        <v>77</v>
      </c>
      <c r="F275" s="7" t="s">
        <v>78</v>
      </c>
      <c r="G275" s="9" t="s">
        <v>79</v>
      </c>
      <c r="H275" s="7" t="n">
        <v>13</v>
      </c>
      <c r="I275" s="10" t="n">
        <v>1300</v>
      </c>
      <c r="J275" s="10" t="n">
        <v>900</v>
      </c>
      <c r="K275" s="7" t="n">
        <v>5</v>
      </c>
      <c r="L275" s="7" t="s">
        <v>26</v>
      </c>
      <c r="M275" s="10" t="n">
        <v>16900</v>
      </c>
      <c r="N275" s="10" t="n">
        <v>5200</v>
      </c>
    </row>
    <row r="276" customFormat="false" ht="15" hidden="false" customHeight="true" outlineLevel="0" collapsed="false">
      <c r="A276" s="3" t="s">
        <v>372</v>
      </c>
      <c r="B276" s="4" t="n">
        <v>44967</v>
      </c>
      <c r="C276" s="3" t="s">
        <v>47</v>
      </c>
      <c r="D276" s="3" t="s">
        <v>48</v>
      </c>
      <c r="E276" s="3" t="s">
        <v>17</v>
      </c>
      <c r="F276" s="3" t="s">
        <v>59</v>
      </c>
      <c r="G276" s="5" t="s">
        <v>60</v>
      </c>
      <c r="H276" s="3" t="n">
        <v>8</v>
      </c>
      <c r="I276" s="6" t="n">
        <v>397</v>
      </c>
      <c r="J276" s="6" t="n">
        <v>280</v>
      </c>
      <c r="K276" s="3" t="n">
        <v>14</v>
      </c>
      <c r="L276" s="3" t="s">
        <v>26</v>
      </c>
      <c r="M276" s="6" t="n">
        <v>3176</v>
      </c>
      <c r="N276" s="6" t="n">
        <v>936</v>
      </c>
    </row>
    <row r="277" customFormat="false" ht="15" hidden="false" customHeight="true" outlineLevel="0" collapsed="false">
      <c r="A277" s="7" t="s">
        <v>373</v>
      </c>
      <c r="B277" s="8" t="n">
        <v>44968</v>
      </c>
      <c r="C277" s="7" t="s">
        <v>22</v>
      </c>
      <c r="D277" s="7" t="s">
        <v>16</v>
      </c>
      <c r="E277" s="7" t="s">
        <v>17</v>
      </c>
      <c r="F277" s="7" t="s">
        <v>44</v>
      </c>
      <c r="G277" s="9" t="s">
        <v>45</v>
      </c>
      <c r="H277" s="7" t="n">
        <v>6</v>
      </c>
      <c r="I277" s="10" t="n">
        <v>362</v>
      </c>
      <c r="J277" s="10" t="n">
        <v>250</v>
      </c>
      <c r="K277" s="7" t="n">
        <v>45</v>
      </c>
      <c r="L277" s="7" t="s">
        <v>26</v>
      </c>
      <c r="M277" s="10" t="n">
        <v>2172</v>
      </c>
      <c r="N277" s="10" t="n">
        <v>672</v>
      </c>
    </row>
    <row r="278" customFormat="false" ht="15" hidden="false" customHeight="true" outlineLevel="0" collapsed="false">
      <c r="A278" s="3" t="s">
        <v>374</v>
      </c>
      <c r="B278" s="4" t="n">
        <v>44968</v>
      </c>
      <c r="C278" s="3" t="s">
        <v>94</v>
      </c>
      <c r="D278" s="3" t="s">
        <v>48</v>
      </c>
      <c r="E278" s="3" t="s">
        <v>39</v>
      </c>
      <c r="F278" s="3" t="s">
        <v>161</v>
      </c>
      <c r="G278" s="5" t="s">
        <v>162</v>
      </c>
      <c r="H278" s="3" t="n">
        <v>15</v>
      </c>
      <c r="I278" s="6" t="n">
        <v>430</v>
      </c>
      <c r="J278" s="6" t="n">
        <v>350</v>
      </c>
      <c r="K278" s="3" t="n">
        <v>11</v>
      </c>
      <c r="L278" s="3" t="s">
        <v>20</v>
      </c>
      <c r="M278" s="6" t="n">
        <v>6450</v>
      </c>
      <c r="N278" s="6" t="n">
        <v>1200</v>
      </c>
    </row>
    <row r="279" customFormat="false" ht="15" hidden="false" customHeight="true" outlineLevel="0" collapsed="false">
      <c r="A279" s="7" t="s">
        <v>375</v>
      </c>
      <c r="B279" s="8" t="n">
        <v>44969</v>
      </c>
      <c r="C279" s="7" t="s">
        <v>15</v>
      </c>
      <c r="D279" s="7" t="s">
        <v>16</v>
      </c>
      <c r="E279" s="7" t="s">
        <v>77</v>
      </c>
      <c r="F279" s="7" t="s">
        <v>81</v>
      </c>
      <c r="G279" s="9" t="s">
        <v>82</v>
      </c>
      <c r="H279" s="7" t="n">
        <v>8</v>
      </c>
      <c r="I279" s="10" t="n">
        <v>847</v>
      </c>
      <c r="J279" s="10" t="n">
        <v>600</v>
      </c>
      <c r="K279" s="7" t="n">
        <v>10</v>
      </c>
      <c r="L279" s="7" t="s">
        <v>26</v>
      </c>
      <c r="M279" s="10" t="n">
        <v>6776</v>
      </c>
      <c r="N279" s="10" t="n">
        <v>1976</v>
      </c>
    </row>
    <row r="280" customFormat="false" ht="15" hidden="false" customHeight="true" outlineLevel="0" collapsed="false">
      <c r="A280" s="3" t="s">
        <v>376</v>
      </c>
      <c r="B280" s="4" t="n">
        <v>44969</v>
      </c>
      <c r="C280" s="3" t="s">
        <v>22</v>
      </c>
      <c r="D280" s="3" t="s">
        <v>16</v>
      </c>
      <c r="E280" s="3" t="s">
        <v>23</v>
      </c>
      <c r="F280" s="3" t="s">
        <v>90</v>
      </c>
      <c r="G280" s="5" t="s">
        <v>91</v>
      </c>
      <c r="H280" s="3" t="n">
        <v>5</v>
      </c>
      <c r="I280" s="6" t="n">
        <v>700</v>
      </c>
      <c r="J280" s="6" t="n">
        <v>600</v>
      </c>
      <c r="K280" s="3" t="n">
        <v>8</v>
      </c>
      <c r="L280" s="3" t="s">
        <v>20</v>
      </c>
      <c r="M280" s="6" t="n">
        <v>3500</v>
      </c>
      <c r="N280" s="6" t="n">
        <v>500</v>
      </c>
    </row>
    <row r="281" customFormat="false" ht="15" hidden="false" customHeight="true" outlineLevel="0" collapsed="false">
      <c r="A281" s="7" t="s">
        <v>377</v>
      </c>
      <c r="B281" s="8" t="n">
        <v>44972</v>
      </c>
      <c r="C281" s="7" t="s">
        <v>47</v>
      </c>
      <c r="D281" s="7" t="s">
        <v>48</v>
      </c>
      <c r="E281" s="7" t="s">
        <v>23</v>
      </c>
      <c r="F281" s="7" t="s">
        <v>204</v>
      </c>
      <c r="G281" s="9" t="s">
        <v>205</v>
      </c>
      <c r="H281" s="7" t="n">
        <v>12</v>
      </c>
      <c r="I281" s="10" t="n">
        <v>2159</v>
      </c>
      <c r="J281" s="10" t="n">
        <v>1800</v>
      </c>
      <c r="K281" s="7" t="n">
        <v>24</v>
      </c>
      <c r="L281" s="7" t="s">
        <v>20</v>
      </c>
      <c r="M281" s="10" t="n">
        <v>25908</v>
      </c>
      <c r="N281" s="10" t="n">
        <v>4308</v>
      </c>
    </row>
    <row r="282" customFormat="false" ht="15" hidden="false" customHeight="true" outlineLevel="0" collapsed="false">
      <c r="A282" s="3" t="s">
        <v>378</v>
      </c>
      <c r="B282" s="4" t="n">
        <v>44977</v>
      </c>
      <c r="C282" s="3" t="s">
        <v>111</v>
      </c>
      <c r="D282" s="3" t="s">
        <v>29</v>
      </c>
      <c r="E282" s="3" t="s">
        <v>77</v>
      </c>
      <c r="F282" s="3" t="s">
        <v>78</v>
      </c>
      <c r="G282" s="5" t="s">
        <v>79</v>
      </c>
      <c r="H282" s="3" t="n">
        <v>15</v>
      </c>
      <c r="I282" s="6" t="n">
        <v>1264</v>
      </c>
      <c r="J282" s="6" t="n">
        <v>900</v>
      </c>
      <c r="K282" s="3" t="n">
        <v>45</v>
      </c>
      <c r="L282" s="3" t="s">
        <v>20</v>
      </c>
      <c r="M282" s="6" t="n">
        <v>18960</v>
      </c>
      <c r="N282" s="6" t="n">
        <v>5460</v>
      </c>
    </row>
    <row r="283" customFormat="false" ht="15" hidden="false" customHeight="true" outlineLevel="0" collapsed="false">
      <c r="A283" s="7" t="s">
        <v>379</v>
      </c>
      <c r="B283" s="8" t="n">
        <v>44978</v>
      </c>
      <c r="C283" s="7" t="s">
        <v>72</v>
      </c>
      <c r="D283" s="7" t="s">
        <v>35</v>
      </c>
      <c r="E283" s="7" t="s">
        <v>77</v>
      </c>
      <c r="F283" s="7" t="s">
        <v>78</v>
      </c>
      <c r="G283" s="9" t="s">
        <v>79</v>
      </c>
      <c r="H283" s="7" t="n">
        <v>2</v>
      </c>
      <c r="I283" s="10" t="n">
        <v>1255</v>
      </c>
      <c r="J283" s="10" t="n">
        <v>900</v>
      </c>
      <c r="K283" s="7" t="n">
        <v>34</v>
      </c>
      <c r="L283" s="7" t="s">
        <v>20</v>
      </c>
      <c r="M283" s="10" t="n">
        <v>2510</v>
      </c>
      <c r="N283" s="10" t="n">
        <v>710</v>
      </c>
    </row>
    <row r="284" customFormat="false" ht="15" hidden="false" customHeight="true" outlineLevel="0" collapsed="false">
      <c r="A284" s="3" t="s">
        <v>380</v>
      </c>
      <c r="B284" s="4" t="n">
        <v>44979</v>
      </c>
      <c r="C284" s="3" t="s">
        <v>22</v>
      </c>
      <c r="D284" s="3" t="s">
        <v>16</v>
      </c>
      <c r="E284" s="3" t="s">
        <v>30</v>
      </c>
      <c r="F284" s="3" t="s">
        <v>126</v>
      </c>
      <c r="G284" s="5" t="s">
        <v>127</v>
      </c>
      <c r="H284" s="3" t="n">
        <v>12</v>
      </c>
      <c r="I284" s="6" t="n">
        <v>564</v>
      </c>
      <c r="J284" s="6" t="n">
        <v>400</v>
      </c>
      <c r="K284" s="3" t="n">
        <v>2</v>
      </c>
      <c r="L284" s="3" t="s">
        <v>26</v>
      </c>
      <c r="M284" s="6" t="n">
        <v>6768</v>
      </c>
      <c r="N284" s="6" t="n">
        <v>1968</v>
      </c>
    </row>
    <row r="285" customFormat="false" ht="15" hidden="false" customHeight="true" outlineLevel="0" collapsed="false">
      <c r="A285" s="7" t="s">
        <v>381</v>
      </c>
      <c r="B285" s="8" t="n">
        <v>44981</v>
      </c>
      <c r="C285" s="7" t="s">
        <v>94</v>
      </c>
      <c r="D285" s="7" t="s">
        <v>48</v>
      </c>
      <c r="E285" s="7" t="s">
        <v>23</v>
      </c>
      <c r="F285" s="7" t="s">
        <v>49</v>
      </c>
      <c r="G285" s="9" t="s">
        <v>50</v>
      </c>
      <c r="H285" s="7" t="n">
        <v>12</v>
      </c>
      <c r="I285" s="10" t="n">
        <v>21541</v>
      </c>
      <c r="J285" s="10" t="n">
        <v>18000</v>
      </c>
      <c r="K285" s="7" t="n">
        <v>39</v>
      </c>
      <c r="L285" s="7" t="s">
        <v>20</v>
      </c>
      <c r="M285" s="10" t="n">
        <v>258492</v>
      </c>
      <c r="N285" s="10" t="n">
        <v>42492</v>
      </c>
    </row>
    <row r="286" customFormat="false" ht="15" hidden="false" customHeight="true" outlineLevel="0" collapsed="false">
      <c r="A286" s="3" t="s">
        <v>382</v>
      </c>
      <c r="B286" s="4" t="n">
        <v>44983</v>
      </c>
      <c r="C286" s="3" t="s">
        <v>15</v>
      </c>
      <c r="D286" s="3" t="s">
        <v>16</v>
      </c>
      <c r="E286" s="3" t="s">
        <v>39</v>
      </c>
      <c r="F286" s="3" t="s">
        <v>143</v>
      </c>
      <c r="G286" s="5" t="s">
        <v>144</v>
      </c>
      <c r="H286" s="3" t="n">
        <v>6</v>
      </c>
      <c r="I286" s="6" t="n">
        <v>324</v>
      </c>
      <c r="J286" s="6" t="n">
        <v>280</v>
      </c>
      <c r="K286" s="3" t="n">
        <v>15</v>
      </c>
      <c r="L286" s="3" t="s">
        <v>20</v>
      </c>
      <c r="M286" s="6" t="n">
        <v>1944</v>
      </c>
      <c r="N286" s="6" t="n">
        <v>264</v>
      </c>
    </row>
    <row r="287" customFormat="false" ht="15" hidden="false" customHeight="true" outlineLevel="0" collapsed="false">
      <c r="A287" s="7" t="s">
        <v>383</v>
      </c>
      <c r="B287" s="8" t="n">
        <v>44983</v>
      </c>
      <c r="C287" s="7" t="s">
        <v>94</v>
      </c>
      <c r="D287" s="7" t="s">
        <v>48</v>
      </c>
      <c r="E287" s="7" t="s">
        <v>39</v>
      </c>
      <c r="F287" s="7" t="s">
        <v>99</v>
      </c>
      <c r="G287" s="9" t="s">
        <v>100</v>
      </c>
      <c r="H287" s="7" t="n">
        <v>11</v>
      </c>
      <c r="I287" s="10" t="n">
        <v>272</v>
      </c>
      <c r="J287" s="10" t="n">
        <v>220</v>
      </c>
      <c r="K287" s="7" t="n">
        <v>14</v>
      </c>
      <c r="L287" s="7" t="s">
        <v>26</v>
      </c>
      <c r="M287" s="10" t="n">
        <v>2992</v>
      </c>
      <c r="N287" s="10" t="n">
        <v>572</v>
      </c>
    </row>
    <row r="288" customFormat="false" ht="15" hidden="false" customHeight="true" outlineLevel="0" collapsed="false">
      <c r="A288" s="3" t="s">
        <v>384</v>
      </c>
      <c r="B288" s="4" t="n">
        <v>44985</v>
      </c>
      <c r="C288" s="3" t="s">
        <v>47</v>
      </c>
      <c r="D288" s="3" t="s">
        <v>48</v>
      </c>
      <c r="E288" s="3" t="s">
        <v>77</v>
      </c>
      <c r="F288" s="3" t="s">
        <v>129</v>
      </c>
      <c r="G288" s="5" t="s">
        <v>130</v>
      </c>
      <c r="H288" s="3" t="n">
        <v>4</v>
      </c>
      <c r="I288" s="6" t="n">
        <v>169</v>
      </c>
      <c r="J288" s="6" t="n">
        <v>120</v>
      </c>
      <c r="K288" s="3" t="n">
        <v>34</v>
      </c>
      <c r="L288" s="3" t="s">
        <v>26</v>
      </c>
      <c r="M288" s="6" t="n">
        <v>676</v>
      </c>
      <c r="N288" s="6" t="n">
        <v>196</v>
      </c>
    </row>
    <row r="289" customFormat="false" ht="15" hidden="false" customHeight="true" outlineLevel="0" collapsed="false">
      <c r="A289" s="7" t="s">
        <v>385</v>
      </c>
      <c r="B289" s="8" t="n">
        <v>44988</v>
      </c>
      <c r="C289" s="7" t="s">
        <v>94</v>
      </c>
      <c r="D289" s="7" t="s">
        <v>48</v>
      </c>
      <c r="E289" s="7" t="s">
        <v>30</v>
      </c>
      <c r="F289" s="7" t="s">
        <v>126</v>
      </c>
      <c r="G289" s="9" t="s">
        <v>127</v>
      </c>
      <c r="H289" s="7" t="n">
        <v>1</v>
      </c>
      <c r="I289" s="10" t="n">
        <v>568</v>
      </c>
      <c r="J289" s="10" t="n">
        <v>400</v>
      </c>
      <c r="K289" s="7" t="n">
        <v>28</v>
      </c>
      <c r="L289" s="7" t="s">
        <v>26</v>
      </c>
      <c r="M289" s="10" t="n">
        <v>568</v>
      </c>
      <c r="N289" s="10" t="n">
        <v>168</v>
      </c>
    </row>
    <row r="290" customFormat="false" ht="15" hidden="false" customHeight="true" outlineLevel="0" collapsed="false">
      <c r="A290" s="3" t="s">
        <v>386</v>
      </c>
      <c r="B290" s="4" t="n">
        <v>44988</v>
      </c>
      <c r="C290" s="3" t="s">
        <v>43</v>
      </c>
      <c r="D290" s="3" t="s">
        <v>16</v>
      </c>
      <c r="E290" s="3" t="s">
        <v>23</v>
      </c>
      <c r="F290" s="3" t="s">
        <v>90</v>
      </c>
      <c r="G290" s="5" t="s">
        <v>91</v>
      </c>
      <c r="H290" s="3" t="n">
        <v>12</v>
      </c>
      <c r="I290" s="6" t="n">
        <v>754</v>
      </c>
      <c r="J290" s="6" t="n">
        <v>600</v>
      </c>
      <c r="K290" s="3" t="n">
        <v>20</v>
      </c>
      <c r="L290" s="3" t="s">
        <v>20</v>
      </c>
      <c r="M290" s="6" t="n">
        <v>9048</v>
      </c>
      <c r="N290" s="6" t="n">
        <v>1848</v>
      </c>
    </row>
    <row r="291" customFormat="false" ht="15" hidden="false" customHeight="true" outlineLevel="0" collapsed="false">
      <c r="A291" s="7" t="s">
        <v>387</v>
      </c>
      <c r="B291" s="8" t="n">
        <v>44991</v>
      </c>
      <c r="C291" s="7" t="s">
        <v>15</v>
      </c>
      <c r="D291" s="7" t="s">
        <v>16</v>
      </c>
      <c r="E291" s="7" t="s">
        <v>62</v>
      </c>
      <c r="F291" s="7" t="s">
        <v>84</v>
      </c>
      <c r="G291" s="9" t="s">
        <v>85</v>
      </c>
      <c r="H291" s="7" t="n">
        <v>6</v>
      </c>
      <c r="I291" s="10" t="n">
        <v>471</v>
      </c>
      <c r="J291" s="10" t="n">
        <v>350</v>
      </c>
      <c r="K291" s="7" t="n">
        <v>30</v>
      </c>
      <c r="L291" s="7" t="s">
        <v>20</v>
      </c>
      <c r="M291" s="10" t="n">
        <v>2826</v>
      </c>
      <c r="N291" s="10" t="n">
        <v>726</v>
      </c>
    </row>
    <row r="292" customFormat="false" ht="15" hidden="false" customHeight="true" outlineLevel="0" collapsed="false">
      <c r="A292" s="3" t="s">
        <v>388</v>
      </c>
      <c r="B292" s="4" t="n">
        <v>44991</v>
      </c>
      <c r="C292" s="3" t="s">
        <v>52</v>
      </c>
      <c r="D292" s="3" t="s">
        <v>29</v>
      </c>
      <c r="E292" s="3" t="s">
        <v>39</v>
      </c>
      <c r="F292" s="3" t="s">
        <v>40</v>
      </c>
      <c r="G292" s="5" t="s">
        <v>41</v>
      </c>
      <c r="H292" s="3" t="n">
        <v>15</v>
      </c>
      <c r="I292" s="6" t="n">
        <v>104</v>
      </c>
      <c r="J292" s="6" t="n">
        <v>90</v>
      </c>
      <c r="K292" s="3" t="n">
        <v>8</v>
      </c>
      <c r="L292" s="3" t="s">
        <v>20</v>
      </c>
      <c r="M292" s="6" t="n">
        <v>1560</v>
      </c>
      <c r="N292" s="6" t="n">
        <v>210</v>
      </c>
    </row>
    <row r="293" customFormat="false" ht="15" hidden="false" customHeight="true" outlineLevel="0" collapsed="false">
      <c r="A293" s="7" t="s">
        <v>389</v>
      </c>
      <c r="B293" s="8" t="n">
        <v>44993</v>
      </c>
      <c r="C293" s="7" t="s">
        <v>22</v>
      </c>
      <c r="D293" s="7" t="s">
        <v>16</v>
      </c>
      <c r="E293" s="7" t="s">
        <v>17</v>
      </c>
      <c r="F293" s="7" t="s">
        <v>54</v>
      </c>
      <c r="G293" s="9" t="s">
        <v>55</v>
      </c>
      <c r="H293" s="7" t="n">
        <v>5</v>
      </c>
      <c r="I293" s="10" t="n">
        <v>659</v>
      </c>
      <c r="J293" s="10" t="n">
        <v>450</v>
      </c>
      <c r="K293" s="7" t="n">
        <v>50</v>
      </c>
      <c r="L293" s="7" t="s">
        <v>20</v>
      </c>
      <c r="M293" s="10" t="n">
        <v>3295</v>
      </c>
      <c r="N293" s="10" t="n">
        <v>1045</v>
      </c>
    </row>
    <row r="294" customFormat="false" ht="15" hidden="false" customHeight="true" outlineLevel="0" collapsed="false">
      <c r="A294" s="3" t="s">
        <v>390</v>
      </c>
      <c r="B294" s="4" t="n">
        <v>44995</v>
      </c>
      <c r="C294" s="3" t="s">
        <v>43</v>
      </c>
      <c r="D294" s="3" t="s">
        <v>16</v>
      </c>
      <c r="E294" s="3" t="s">
        <v>77</v>
      </c>
      <c r="F294" s="3" t="s">
        <v>78</v>
      </c>
      <c r="G294" s="5" t="s">
        <v>79</v>
      </c>
      <c r="H294" s="3" t="n">
        <v>3</v>
      </c>
      <c r="I294" s="6" t="n">
        <v>1297</v>
      </c>
      <c r="J294" s="6" t="n">
        <v>900</v>
      </c>
      <c r="K294" s="3" t="n">
        <v>39</v>
      </c>
      <c r="L294" s="3" t="s">
        <v>26</v>
      </c>
      <c r="M294" s="6" t="n">
        <v>3891</v>
      </c>
      <c r="N294" s="6" t="n">
        <v>1191</v>
      </c>
    </row>
    <row r="295" customFormat="false" ht="15" hidden="false" customHeight="true" outlineLevel="0" collapsed="false">
      <c r="A295" s="7" t="s">
        <v>391</v>
      </c>
      <c r="B295" s="8" t="n">
        <v>44996</v>
      </c>
      <c r="C295" s="7" t="s">
        <v>47</v>
      </c>
      <c r="D295" s="7" t="s">
        <v>48</v>
      </c>
      <c r="E295" s="7" t="s">
        <v>62</v>
      </c>
      <c r="F295" s="7" t="s">
        <v>69</v>
      </c>
      <c r="G295" s="9" t="s">
        <v>70</v>
      </c>
      <c r="H295" s="7" t="n">
        <v>6</v>
      </c>
      <c r="I295" s="10" t="n">
        <v>65</v>
      </c>
      <c r="J295" s="10" t="n">
        <v>50</v>
      </c>
      <c r="K295" s="7" t="n">
        <v>25</v>
      </c>
      <c r="L295" s="7" t="s">
        <v>20</v>
      </c>
      <c r="M295" s="10" t="n">
        <v>390</v>
      </c>
      <c r="N295" s="10" t="n">
        <v>90</v>
      </c>
    </row>
    <row r="296" customFormat="false" ht="15" hidden="false" customHeight="true" outlineLevel="0" collapsed="false">
      <c r="A296" s="3" t="s">
        <v>392</v>
      </c>
      <c r="B296" s="4" t="n">
        <v>44996</v>
      </c>
      <c r="C296" s="3" t="s">
        <v>43</v>
      </c>
      <c r="D296" s="3" t="s">
        <v>16</v>
      </c>
      <c r="E296" s="3" t="s">
        <v>17</v>
      </c>
      <c r="F296" s="3" t="s">
        <v>54</v>
      </c>
      <c r="G296" s="5" t="s">
        <v>55</v>
      </c>
      <c r="H296" s="3" t="n">
        <v>13</v>
      </c>
      <c r="I296" s="6" t="n">
        <v>622</v>
      </c>
      <c r="J296" s="6" t="n">
        <v>450</v>
      </c>
      <c r="K296" s="3" t="n">
        <v>23</v>
      </c>
      <c r="L296" s="3" t="s">
        <v>26</v>
      </c>
      <c r="M296" s="6" t="n">
        <v>8086</v>
      </c>
      <c r="N296" s="6" t="n">
        <v>2236</v>
      </c>
    </row>
    <row r="297" customFormat="false" ht="15" hidden="false" customHeight="true" outlineLevel="0" collapsed="false">
      <c r="A297" s="7" t="s">
        <v>393</v>
      </c>
      <c r="B297" s="8" t="n">
        <v>44997</v>
      </c>
      <c r="C297" s="7" t="s">
        <v>58</v>
      </c>
      <c r="D297" s="7" t="s">
        <v>48</v>
      </c>
      <c r="E297" s="7" t="s">
        <v>30</v>
      </c>
      <c r="F297" s="7" t="s">
        <v>87</v>
      </c>
      <c r="G297" s="9" t="s">
        <v>88</v>
      </c>
      <c r="H297" s="7" t="n">
        <v>6</v>
      </c>
      <c r="I297" s="10" t="n">
        <v>1032</v>
      </c>
      <c r="J297" s="10" t="n">
        <v>700</v>
      </c>
      <c r="K297" s="7" t="n">
        <v>41</v>
      </c>
      <c r="L297" s="7" t="s">
        <v>20</v>
      </c>
      <c r="M297" s="10" t="n">
        <v>6192</v>
      </c>
      <c r="N297" s="10" t="n">
        <v>1992</v>
      </c>
    </row>
    <row r="298" customFormat="false" ht="15" hidden="false" customHeight="true" outlineLevel="0" collapsed="false">
      <c r="A298" s="3" t="s">
        <v>394</v>
      </c>
      <c r="B298" s="4" t="n">
        <v>44998</v>
      </c>
      <c r="C298" s="3" t="s">
        <v>43</v>
      </c>
      <c r="D298" s="3" t="s">
        <v>16</v>
      </c>
      <c r="E298" s="3" t="s">
        <v>62</v>
      </c>
      <c r="F298" s="3" t="s">
        <v>84</v>
      </c>
      <c r="G298" s="5" t="s">
        <v>85</v>
      </c>
      <c r="H298" s="3" t="n">
        <v>7</v>
      </c>
      <c r="I298" s="6" t="n">
        <v>488</v>
      </c>
      <c r="J298" s="6" t="n">
        <v>350</v>
      </c>
      <c r="K298" s="3" t="n">
        <v>7</v>
      </c>
      <c r="L298" s="3" t="s">
        <v>26</v>
      </c>
      <c r="M298" s="6" t="n">
        <v>3416</v>
      </c>
      <c r="N298" s="6" t="n">
        <v>966</v>
      </c>
    </row>
    <row r="299" customFormat="false" ht="15" hidden="false" customHeight="true" outlineLevel="0" collapsed="false">
      <c r="A299" s="7" t="s">
        <v>395</v>
      </c>
      <c r="B299" s="8" t="n">
        <v>44999</v>
      </c>
      <c r="C299" s="7" t="s">
        <v>15</v>
      </c>
      <c r="D299" s="7" t="s">
        <v>16</v>
      </c>
      <c r="E299" s="7" t="s">
        <v>39</v>
      </c>
      <c r="F299" s="7" t="s">
        <v>40</v>
      </c>
      <c r="G299" s="9" t="s">
        <v>41</v>
      </c>
      <c r="H299" s="7" t="n">
        <v>5</v>
      </c>
      <c r="I299" s="10" t="n">
        <v>108</v>
      </c>
      <c r="J299" s="10" t="n">
        <v>90</v>
      </c>
      <c r="K299" s="7" t="n">
        <v>34</v>
      </c>
      <c r="L299" s="7" t="s">
        <v>20</v>
      </c>
      <c r="M299" s="10" t="n">
        <v>540</v>
      </c>
      <c r="N299" s="10" t="n">
        <v>90</v>
      </c>
    </row>
    <row r="300" customFormat="false" ht="15" hidden="false" customHeight="true" outlineLevel="0" collapsed="false">
      <c r="A300" s="3" t="s">
        <v>396</v>
      </c>
      <c r="B300" s="4" t="n">
        <v>45000</v>
      </c>
      <c r="C300" s="3" t="s">
        <v>52</v>
      </c>
      <c r="D300" s="3" t="s">
        <v>29</v>
      </c>
      <c r="E300" s="3" t="s">
        <v>30</v>
      </c>
      <c r="F300" s="3" t="s">
        <v>36</v>
      </c>
      <c r="G300" s="5" t="s">
        <v>37</v>
      </c>
      <c r="H300" s="3" t="n">
        <v>3</v>
      </c>
      <c r="I300" s="6" t="n">
        <v>632</v>
      </c>
      <c r="J300" s="6" t="n">
        <v>450</v>
      </c>
      <c r="K300" s="3" t="n">
        <v>13</v>
      </c>
      <c r="L300" s="3" t="s">
        <v>26</v>
      </c>
      <c r="M300" s="6" t="n">
        <v>1896</v>
      </c>
      <c r="N300" s="6" t="n">
        <v>546</v>
      </c>
    </row>
    <row r="301" customFormat="false" ht="15" hidden="false" customHeight="true" outlineLevel="0" collapsed="false">
      <c r="A301" s="7" t="s">
        <v>397</v>
      </c>
      <c r="B301" s="8" t="n">
        <v>45003</v>
      </c>
      <c r="C301" s="7" t="s">
        <v>15</v>
      </c>
      <c r="D301" s="7" t="s">
        <v>16</v>
      </c>
      <c r="E301" s="7" t="s">
        <v>39</v>
      </c>
      <c r="F301" s="7" t="s">
        <v>220</v>
      </c>
      <c r="G301" s="9" t="s">
        <v>221</v>
      </c>
      <c r="H301" s="7" t="n">
        <v>5</v>
      </c>
      <c r="I301" s="10" t="n">
        <v>209</v>
      </c>
      <c r="J301" s="10" t="n">
        <v>180</v>
      </c>
      <c r="K301" s="7" t="n">
        <v>1</v>
      </c>
      <c r="L301" s="7" t="s">
        <v>26</v>
      </c>
      <c r="M301" s="10" t="n">
        <v>1045</v>
      </c>
      <c r="N301" s="10" t="n">
        <v>145</v>
      </c>
    </row>
    <row r="302" customFormat="false" ht="15" hidden="false" customHeight="true" outlineLevel="0" collapsed="false">
      <c r="A302" s="3" t="s">
        <v>398</v>
      </c>
      <c r="B302" s="4" t="n">
        <v>45004</v>
      </c>
      <c r="C302" s="3" t="s">
        <v>28</v>
      </c>
      <c r="D302" s="3" t="s">
        <v>29</v>
      </c>
      <c r="E302" s="3" t="s">
        <v>17</v>
      </c>
      <c r="F302" s="3" t="s">
        <v>54</v>
      </c>
      <c r="G302" s="5" t="s">
        <v>55</v>
      </c>
      <c r="H302" s="3" t="n">
        <v>7</v>
      </c>
      <c r="I302" s="6" t="n">
        <v>613</v>
      </c>
      <c r="J302" s="6" t="n">
        <v>450</v>
      </c>
      <c r="K302" s="3" t="n">
        <v>17</v>
      </c>
      <c r="L302" s="3" t="s">
        <v>26</v>
      </c>
      <c r="M302" s="6" t="n">
        <v>4291</v>
      </c>
      <c r="N302" s="6" t="n">
        <v>1141</v>
      </c>
    </row>
    <row r="303" customFormat="false" ht="15" hidden="false" customHeight="true" outlineLevel="0" collapsed="false">
      <c r="A303" s="7" t="s">
        <v>399</v>
      </c>
      <c r="B303" s="8" t="n">
        <v>45006</v>
      </c>
      <c r="C303" s="7" t="s">
        <v>47</v>
      </c>
      <c r="D303" s="7" t="s">
        <v>48</v>
      </c>
      <c r="E303" s="7" t="s">
        <v>77</v>
      </c>
      <c r="F303" s="7" t="s">
        <v>81</v>
      </c>
      <c r="G303" s="9" t="s">
        <v>82</v>
      </c>
      <c r="H303" s="7" t="n">
        <v>7</v>
      </c>
      <c r="I303" s="10" t="n">
        <v>812</v>
      </c>
      <c r="J303" s="10" t="n">
        <v>600</v>
      </c>
      <c r="K303" s="7" t="n">
        <v>9</v>
      </c>
      <c r="L303" s="7" t="s">
        <v>26</v>
      </c>
      <c r="M303" s="10" t="n">
        <v>5684</v>
      </c>
      <c r="N303" s="10" t="n">
        <v>1484</v>
      </c>
    </row>
    <row r="304" customFormat="false" ht="15" hidden="false" customHeight="true" outlineLevel="0" collapsed="false">
      <c r="A304" s="3" t="s">
        <v>400</v>
      </c>
      <c r="B304" s="4" t="n">
        <v>45008</v>
      </c>
      <c r="C304" s="3" t="s">
        <v>94</v>
      </c>
      <c r="D304" s="3" t="s">
        <v>48</v>
      </c>
      <c r="E304" s="3" t="s">
        <v>62</v>
      </c>
      <c r="F304" s="3" t="s">
        <v>96</v>
      </c>
      <c r="G304" s="5" t="s">
        <v>97</v>
      </c>
      <c r="H304" s="3" t="n">
        <v>10</v>
      </c>
      <c r="I304" s="6" t="n">
        <v>107</v>
      </c>
      <c r="J304" s="6" t="n">
        <v>80</v>
      </c>
      <c r="K304" s="3" t="n">
        <v>0</v>
      </c>
      <c r="L304" s="3" t="s">
        <v>26</v>
      </c>
      <c r="M304" s="6" t="n">
        <v>1070</v>
      </c>
      <c r="N304" s="6" t="n">
        <v>270</v>
      </c>
    </row>
    <row r="305" customFormat="false" ht="15" hidden="false" customHeight="true" outlineLevel="0" collapsed="false">
      <c r="A305" s="7" t="s">
        <v>401</v>
      </c>
      <c r="B305" s="8" t="n">
        <v>45008</v>
      </c>
      <c r="C305" s="7" t="s">
        <v>58</v>
      </c>
      <c r="D305" s="7" t="s">
        <v>48</v>
      </c>
      <c r="E305" s="7" t="s">
        <v>77</v>
      </c>
      <c r="F305" s="7" t="s">
        <v>129</v>
      </c>
      <c r="G305" s="9" t="s">
        <v>130</v>
      </c>
      <c r="H305" s="7" t="n">
        <v>15</v>
      </c>
      <c r="I305" s="10" t="n">
        <v>171</v>
      </c>
      <c r="J305" s="10" t="n">
        <v>120</v>
      </c>
      <c r="K305" s="7" t="n">
        <v>37</v>
      </c>
      <c r="L305" s="7" t="s">
        <v>26</v>
      </c>
      <c r="M305" s="10" t="n">
        <v>2565</v>
      </c>
      <c r="N305" s="10" t="n">
        <v>765</v>
      </c>
    </row>
    <row r="306" customFormat="false" ht="15" hidden="false" customHeight="true" outlineLevel="0" collapsed="false">
      <c r="A306" s="3" t="s">
        <v>402</v>
      </c>
      <c r="B306" s="4" t="n">
        <v>45011</v>
      </c>
      <c r="C306" s="3" t="s">
        <v>136</v>
      </c>
      <c r="D306" s="3" t="s">
        <v>35</v>
      </c>
      <c r="E306" s="3" t="s">
        <v>77</v>
      </c>
      <c r="F306" s="3" t="s">
        <v>81</v>
      </c>
      <c r="G306" s="5" t="s">
        <v>82</v>
      </c>
      <c r="H306" s="3" t="n">
        <v>3</v>
      </c>
      <c r="I306" s="6" t="n">
        <v>828</v>
      </c>
      <c r="J306" s="6" t="n">
        <v>600</v>
      </c>
      <c r="K306" s="3" t="n">
        <v>21</v>
      </c>
      <c r="L306" s="3" t="s">
        <v>20</v>
      </c>
      <c r="M306" s="6" t="n">
        <v>2484</v>
      </c>
      <c r="N306" s="6" t="n">
        <v>684</v>
      </c>
    </row>
    <row r="307" customFormat="false" ht="15" hidden="false" customHeight="true" outlineLevel="0" collapsed="false">
      <c r="A307" s="7" t="s">
        <v>403</v>
      </c>
      <c r="B307" s="8" t="n">
        <v>45012</v>
      </c>
      <c r="C307" s="7" t="s">
        <v>43</v>
      </c>
      <c r="D307" s="7" t="s">
        <v>16</v>
      </c>
      <c r="E307" s="7" t="s">
        <v>17</v>
      </c>
      <c r="F307" s="7" t="s">
        <v>18</v>
      </c>
      <c r="G307" s="9" t="s">
        <v>19</v>
      </c>
      <c r="H307" s="7" t="n">
        <v>10</v>
      </c>
      <c r="I307" s="10" t="n">
        <v>1213</v>
      </c>
      <c r="J307" s="10" t="n">
        <v>900</v>
      </c>
      <c r="K307" s="7" t="n">
        <v>12</v>
      </c>
      <c r="L307" s="7" t="s">
        <v>26</v>
      </c>
      <c r="M307" s="10" t="n">
        <v>12130</v>
      </c>
      <c r="N307" s="10" t="n">
        <v>3130</v>
      </c>
    </row>
    <row r="308" customFormat="false" ht="15" hidden="false" customHeight="true" outlineLevel="0" collapsed="false">
      <c r="A308" s="3" t="s">
        <v>404</v>
      </c>
      <c r="B308" s="4" t="n">
        <v>45012</v>
      </c>
      <c r="C308" s="3" t="s">
        <v>111</v>
      </c>
      <c r="D308" s="3" t="s">
        <v>29</v>
      </c>
      <c r="E308" s="3" t="s">
        <v>30</v>
      </c>
      <c r="F308" s="3" t="s">
        <v>87</v>
      </c>
      <c r="G308" s="5" t="s">
        <v>88</v>
      </c>
      <c r="H308" s="3" t="n">
        <v>6</v>
      </c>
      <c r="I308" s="6" t="n">
        <v>1054</v>
      </c>
      <c r="J308" s="6" t="n">
        <v>700</v>
      </c>
      <c r="K308" s="3" t="n">
        <v>0</v>
      </c>
      <c r="L308" s="3" t="s">
        <v>26</v>
      </c>
      <c r="M308" s="6" t="n">
        <v>6324</v>
      </c>
      <c r="N308" s="6" t="n">
        <v>2124</v>
      </c>
    </row>
    <row r="309" customFormat="false" ht="15" hidden="false" customHeight="true" outlineLevel="0" collapsed="false">
      <c r="A309" s="7" t="s">
        <v>405</v>
      </c>
      <c r="B309" s="8" t="n">
        <v>45014</v>
      </c>
      <c r="C309" s="7" t="s">
        <v>15</v>
      </c>
      <c r="D309" s="7" t="s">
        <v>16</v>
      </c>
      <c r="E309" s="7" t="s">
        <v>77</v>
      </c>
      <c r="F309" s="7" t="s">
        <v>180</v>
      </c>
      <c r="G309" s="9" t="s">
        <v>181</v>
      </c>
      <c r="H309" s="7" t="n">
        <v>13</v>
      </c>
      <c r="I309" s="10" t="n">
        <v>250</v>
      </c>
      <c r="J309" s="10" t="n">
        <v>180</v>
      </c>
      <c r="K309" s="7" t="n">
        <v>36</v>
      </c>
      <c r="L309" s="7" t="s">
        <v>26</v>
      </c>
      <c r="M309" s="10" t="n">
        <v>3250</v>
      </c>
      <c r="N309" s="10" t="n">
        <v>910</v>
      </c>
    </row>
    <row r="310" customFormat="false" ht="15" hidden="false" customHeight="true" outlineLevel="0" collapsed="false">
      <c r="A310" s="3" t="s">
        <v>406</v>
      </c>
      <c r="B310" s="4" t="n">
        <v>45014</v>
      </c>
      <c r="C310" s="3" t="s">
        <v>28</v>
      </c>
      <c r="D310" s="3" t="s">
        <v>29</v>
      </c>
      <c r="E310" s="3" t="s">
        <v>62</v>
      </c>
      <c r="F310" s="3" t="s">
        <v>69</v>
      </c>
      <c r="G310" s="5" t="s">
        <v>70</v>
      </c>
      <c r="H310" s="3" t="n">
        <v>3</v>
      </c>
      <c r="I310" s="6" t="n">
        <v>68</v>
      </c>
      <c r="J310" s="6" t="n">
        <v>50</v>
      </c>
      <c r="K310" s="3" t="n">
        <v>26</v>
      </c>
      <c r="L310" s="3" t="s">
        <v>26</v>
      </c>
      <c r="M310" s="6" t="n">
        <v>204</v>
      </c>
      <c r="N310" s="6" t="n">
        <v>54</v>
      </c>
    </row>
    <row r="311" customFormat="false" ht="15" hidden="false" customHeight="true" outlineLevel="0" collapsed="false">
      <c r="A311" s="7" t="s">
        <v>407</v>
      </c>
      <c r="B311" s="8" t="n">
        <v>45015</v>
      </c>
      <c r="C311" s="7" t="s">
        <v>47</v>
      </c>
      <c r="D311" s="7" t="s">
        <v>48</v>
      </c>
      <c r="E311" s="7" t="s">
        <v>30</v>
      </c>
      <c r="F311" s="7" t="s">
        <v>118</v>
      </c>
      <c r="G311" s="9" t="s">
        <v>119</v>
      </c>
      <c r="H311" s="7" t="n">
        <v>4</v>
      </c>
      <c r="I311" s="10" t="n">
        <v>400</v>
      </c>
      <c r="J311" s="10" t="n">
        <v>280</v>
      </c>
      <c r="K311" s="7" t="n">
        <v>32</v>
      </c>
      <c r="L311" s="7" t="s">
        <v>26</v>
      </c>
      <c r="M311" s="10" t="n">
        <v>1600</v>
      </c>
      <c r="N311" s="10" t="n">
        <v>480</v>
      </c>
    </row>
    <row r="312" customFormat="false" ht="15" hidden="false" customHeight="true" outlineLevel="0" collapsed="false">
      <c r="A312" s="3" t="s">
        <v>408</v>
      </c>
      <c r="B312" s="4" t="n">
        <v>45015</v>
      </c>
      <c r="C312" s="3" t="s">
        <v>72</v>
      </c>
      <c r="D312" s="3" t="s">
        <v>35</v>
      </c>
      <c r="E312" s="3" t="s">
        <v>17</v>
      </c>
      <c r="F312" s="3" t="s">
        <v>18</v>
      </c>
      <c r="G312" s="5" t="s">
        <v>19</v>
      </c>
      <c r="H312" s="3" t="n">
        <v>4</v>
      </c>
      <c r="I312" s="6" t="n">
        <v>1320</v>
      </c>
      <c r="J312" s="6" t="n">
        <v>900</v>
      </c>
      <c r="K312" s="3" t="n">
        <v>25</v>
      </c>
      <c r="L312" s="3" t="s">
        <v>26</v>
      </c>
      <c r="M312" s="6" t="n">
        <v>5280</v>
      </c>
      <c r="N312" s="6" t="n">
        <v>1680</v>
      </c>
    </row>
    <row r="313" customFormat="false" ht="15" hidden="false" customHeight="true" outlineLevel="0" collapsed="false">
      <c r="A313" s="7" t="s">
        <v>409</v>
      </c>
      <c r="B313" s="8" t="n">
        <v>45015</v>
      </c>
      <c r="C313" s="7" t="s">
        <v>111</v>
      </c>
      <c r="D313" s="7" t="s">
        <v>29</v>
      </c>
      <c r="E313" s="7" t="s">
        <v>77</v>
      </c>
      <c r="F313" s="7" t="s">
        <v>180</v>
      </c>
      <c r="G313" s="9" t="s">
        <v>181</v>
      </c>
      <c r="H313" s="7" t="n">
        <v>1</v>
      </c>
      <c r="I313" s="10" t="n">
        <v>260</v>
      </c>
      <c r="J313" s="10" t="n">
        <v>180</v>
      </c>
      <c r="K313" s="7" t="n">
        <v>22</v>
      </c>
      <c r="L313" s="7" t="s">
        <v>26</v>
      </c>
      <c r="M313" s="10" t="n">
        <v>260</v>
      </c>
      <c r="N313" s="10" t="n">
        <v>80</v>
      </c>
    </row>
    <row r="314" customFormat="false" ht="15" hidden="false" customHeight="true" outlineLevel="0" collapsed="false">
      <c r="A314" s="3" t="s">
        <v>410</v>
      </c>
      <c r="B314" s="4" t="n">
        <v>45016</v>
      </c>
      <c r="C314" s="3" t="s">
        <v>15</v>
      </c>
      <c r="D314" s="3" t="s">
        <v>16</v>
      </c>
      <c r="E314" s="3" t="s">
        <v>23</v>
      </c>
      <c r="F314" s="3" t="s">
        <v>24</v>
      </c>
      <c r="G314" s="5" t="s">
        <v>25</v>
      </c>
      <c r="H314" s="3" t="n">
        <v>7</v>
      </c>
      <c r="I314" s="6" t="n">
        <v>442</v>
      </c>
      <c r="J314" s="6" t="n">
        <v>350</v>
      </c>
      <c r="K314" s="3" t="n">
        <v>37</v>
      </c>
      <c r="L314" s="3" t="s">
        <v>26</v>
      </c>
      <c r="M314" s="6" t="n">
        <v>3094</v>
      </c>
      <c r="N314" s="6" t="n">
        <v>644</v>
      </c>
    </row>
    <row r="315" customFormat="false" ht="15" hidden="false" customHeight="true" outlineLevel="0" collapsed="false">
      <c r="A315" s="7" t="s">
        <v>411</v>
      </c>
      <c r="B315" s="8" t="n">
        <v>45018</v>
      </c>
      <c r="C315" s="7" t="s">
        <v>34</v>
      </c>
      <c r="D315" s="7" t="s">
        <v>35</v>
      </c>
      <c r="E315" s="7" t="s">
        <v>62</v>
      </c>
      <c r="F315" s="7" t="s">
        <v>103</v>
      </c>
      <c r="G315" s="9" t="s">
        <v>104</v>
      </c>
      <c r="H315" s="7" t="n">
        <v>9</v>
      </c>
      <c r="I315" s="10" t="n">
        <v>121</v>
      </c>
      <c r="J315" s="10" t="n">
        <v>90</v>
      </c>
      <c r="K315" s="7" t="n">
        <v>13</v>
      </c>
      <c r="L315" s="7" t="s">
        <v>26</v>
      </c>
      <c r="M315" s="10" t="n">
        <v>1089</v>
      </c>
      <c r="N315" s="10" t="n">
        <v>279</v>
      </c>
    </row>
    <row r="316" customFormat="false" ht="15" hidden="false" customHeight="true" outlineLevel="0" collapsed="false">
      <c r="A316" s="3" t="s">
        <v>412</v>
      </c>
      <c r="B316" s="4" t="n">
        <v>45018</v>
      </c>
      <c r="C316" s="3" t="s">
        <v>72</v>
      </c>
      <c r="D316" s="3" t="s">
        <v>35</v>
      </c>
      <c r="E316" s="3" t="s">
        <v>62</v>
      </c>
      <c r="F316" s="3" t="s">
        <v>63</v>
      </c>
      <c r="G316" s="5" t="s">
        <v>64</v>
      </c>
      <c r="H316" s="3" t="n">
        <v>9</v>
      </c>
      <c r="I316" s="6" t="n">
        <v>77</v>
      </c>
      <c r="J316" s="6" t="n">
        <v>60</v>
      </c>
      <c r="K316" s="3" t="n">
        <v>38</v>
      </c>
      <c r="L316" s="3" t="s">
        <v>26</v>
      </c>
      <c r="M316" s="6" t="n">
        <v>693</v>
      </c>
      <c r="N316" s="6" t="n">
        <v>153</v>
      </c>
    </row>
    <row r="317" customFormat="false" ht="15" hidden="false" customHeight="true" outlineLevel="0" collapsed="false">
      <c r="A317" s="7" t="s">
        <v>413</v>
      </c>
      <c r="B317" s="8" t="n">
        <v>45023</v>
      </c>
      <c r="C317" s="7" t="s">
        <v>94</v>
      </c>
      <c r="D317" s="7" t="s">
        <v>48</v>
      </c>
      <c r="E317" s="7" t="s">
        <v>77</v>
      </c>
      <c r="F317" s="7" t="s">
        <v>152</v>
      </c>
      <c r="G317" s="9" t="s">
        <v>153</v>
      </c>
      <c r="H317" s="7" t="n">
        <v>8</v>
      </c>
      <c r="I317" s="10" t="n">
        <v>474</v>
      </c>
      <c r="J317" s="10" t="n">
        <v>350</v>
      </c>
      <c r="K317" s="7" t="n">
        <v>15</v>
      </c>
      <c r="L317" s="7" t="s">
        <v>26</v>
      </c>
      <c r="M317" s="10" t="n">
        <v>3792</v>
      </c>
      <c r="N317" s="10" t="n">
        <v>992</v>
      </c>
    </row>
    <row r="318" customFormat="false" ht="15" hidden="false" customHeight="true" outlineLevel="0" collapsed="false">
      <c r="A318" s="3" t="s">
        <v>414</v>
      </c>
      <c r="B318" s="4" t="n">
        <v>45023</v>
      </c>
      <c r="C318" s="3" t="s">
        <v>58</v>
      </c>
      <c r="D318" s="3" t="s">
        <v>48</v>
      </c>
      <c r="E318" s="3" t="s">
        <v>77</v>
      </c>
      <c r="F318" s="3" t="s">
        <v>152</v>
      </c>
      <c r="G318" s="5" t="s">
        <v>153</v>
      </c>
      <c r="H318" s="3" t="n">
        <v>8</v>
      </c>
      <c r="I318" s="6" t="n">
        <v>486</v>
      </c>
      <c r="J318" s="6" t="n">
        <v>350</v>
      </c>
      <c r="K318" s="3" t="n">
        <v>3</v>
      </c>
      <c r="L318" s="3" t="s">
        <v>20</v>
      </c>
      <c r="M318" s="6" t="n">
        <v>3888</v>
      </c>
      <c r="N318" s="6" t="n">
        <v>1088</v>
      </c>
    </row>
    <row r="319" customFormat="false" ht="15" hidden="false" customHeight="true" outlineLevel="0" collapsed="false">
      <c r="A319" s="7" t="s">
        <v>415</v>
      </c>
      <c r="B319" s="8" t="n">
        <v>45024</v>
      </c>
      <c r="C319" s="7" t="s">
        <v>28</v>
      </c>
      <c r="D319" s="7" t="s">
        <v>29</v>
      </c>
      <c r="E319" s="7" t="s">
        <v>77</v>
      </c>
      <c r="F319" s="7" t="s">
        <v>152</v>
      </c>
      <c r="G319" s="9" t="s">
        <v>153</v>
      </c>
      <c r="H319" s="7" t="n">
        <v>7</v>
      </c>
      <c r="I319" s="10" t="n">
        <v>493</v>
      </c>
      <c r="J319" s="10" t="n">
        <v>350</v>
      </c>
      <c r="K319" s="7" t="n">
        <v>34</v>
      </c>
      <c r="L319" s="7" t="s">
        <v>26</v>
      </c>
      <c r="M319" s="10" t="n">
        <v>3451</v>
      </c>
      <c r="N319" s="10" t="n">
        <v>1001</v>
      </c>
    </row>
    <row r="320" customFormat="false" ht="15" hidden="false" customHeight="true" outlineLevel="0" collapsed="false">
      <c r="A320" s="3" t="s">
        <v>416</v>
      </c>
      <c r="B320" s="4" t="n">
        <v>45025</v>
      </c>
      <c r="C320" s="3" t="s">
        <v>111</v>
      </c>
      <c r="D320" s="3" t="s">
        <v>29</v>
      </c>
      <c r="E320" s="3" t="s">
        <v>62</v>
      </c>
      <c r="F320" s="3" t="s">
        <v>96</v>
      </c>
      <c r="G320" s="5" t="s">
        <v>97</v>
      </c>
      <c r="H320" s="3" t="n">
        <v>5</v>
      </c>
      <c r="I320" s="6" t="n">
        <v>110</v>
      </c>
      <c r="J320" s="6" t="n">
        <v>80</v>
      </c>
      <c r="K320" s="3" t="n">
        <v>7</v>
      </c>
      <c r="L320" s="3" t="s">
        <v>20</v>
      </c>
      <c r="M320" s="6" t="n">
        <v>550</v>
      </c>
      <c r="N320" s="6" t="n">
        <v>150</v>
      </c>
    </row>
    <row r="321" customFormat="false" ht="15" hidden="false" customHeight="true" outlineLevel="0" collapsed="false">
      <c r="A321" s="7" t="s">
        <v>417</v>
      </c>
      <c r="B321" s="8" t="n">
        <v>45026</v>
      </c>
      <c r="C321" s="7" t="s">
        <v>47</v>
      </c>
      <c r="D321" s="7" t="s">
        <v>48</v>
      </c>
      <c r="E321" s="7" t="s">
        <v>30</v>
      </c>
      <c r="F321" s="7" t="s">
        <v>31</v>
      </c>
      <c r="G321" s="9" t="s">
        <v>32</v>
      </c>
      <c r="H321" s="7" t="n">
        <v>15</v>
      </c>
      <c r="I321" s="10" t="n">
        <v>1738</v>
      </c>
      <c r="J321" s="10" t="n">
        <v>1200</v>
      </c>
      <c r="K321" s="7" t="n">
        <v>34</v>
      </c>
      <c r="L321" s="7" t="s">
        <v>26</v>
      </c>
      <c r="M321" s="10" t="n">
        <v>26070</v>
      </c>
      <c r="N321" s="10" t="n">
        <v>8070</v>
      </c>
    </row>
    <row r="322" customFormat="false" ht="15" hidden="false" customHeight="true" outlineLevel="0" collapsed="false">
      <c r="A322" s="3" t="s">
        <v>418</v>
      </c>
      <c r="B322" s="4" t="n">
        <v>45029</v>
      </c>
      <c r="C322" s="3" t="s">
        <v>43</v>
      </c>
      <c r="D322" s="3" t="s">
        <v>16</v>
      </c>
      <c r="E322" s="3" t="s">
        <v>62</v>
      </c>
      <c r="F322" s="3" t="s">
        <v>103</v>
      </c>
      <c r="G322" s="5" t="s">
        <v>104</v>
      </c>
      <c r="H322" s="3" t="n">
        <v>4</v>
      </c>
      <c r="I322" s="6" t="n">
        <v>116</v>
      </c>
      <c r="J322" s="6" t="n">
        <v>90</v>
      </c>
      <c r="K322" s="3" t="n">
        <v>9</v>
      </c>
      <c r="L322" s="3" t="s">
        <v>26</v>
      </c>
      <c r="M322" s="6" t="n">
        <v>464</v>
      </c>
      <c r="N322" s="6" t="n">
        <v>104</v>
      </c>
    </row>
    <row r="323" customFormat="false" ht="15" hidden="false" customHeight="true" outlineLevel="0" collapsed="false">
      <c r="A323" s="7" t="s">
        <v>419</v>
      </c>
      <c r="B323" s="8" t="n">
        <v>45030</v>
      </c>
      <c r="C323" s="7" t="s">
        <v>47</v>
      </c>
      <c r="D323" s="7" t="s">
        <v>48</v>
      </c>
      <c r="E323" s="7" t="s">
        <v>77</v>
      </c>
      <c r="F323" s="7" t="s">
        <v>180</v>
      </c>
      <c r="G323" s="9" t="s">
        <v>181</v>
      </c>
      <c r="H323" s="7" t="n">
        <v>7</v>
      </c>
      <c r="I323" s="10" t="n">
        <v>242</v>
      </c>
      <c r="J323" s="10" t="n">
        <v>180</v>
      </c>
      <c r="K323" s="7" t="n">
        <v>48</v>
      </c>
      <c r="L323" s="7" t="s">
        <v>26</v>
      </c>
      <c r="M323" s="10" t="n">
        <v>1694</v>
      </c>
      <c r="N323" s="10" t="n">
        <v>434</v>
      </c>
    </row>
    <row r="324" customFormat="false" ht="15" hidden="false" customHeight="true" outlineLevel="0" collapsed="false">
      <c r="A324" s="3" t="s">
        <v>420</v>
      </c>
      <c r="B324" s="4" t="n">
        <v>45030</v>
      </c>
      <c r="C324" s="3" t="s">
        <v>47</v>
      </c>
      <c r="D324" s="3" t="s">
        <v>48</v>
      </c>
      <c r="E324" s="3" t="s">
        <v>30</v>
      </c>
      <c r="F324" s="3" t="s">
        <v>118</v>
      </c>
      <c r="G324" s="5" t="s">
        <v>119</v>
      </c>
      <c r="H324" s="3" t="n">
        <v>8</v>
      </c>
      <c r="I324" s="6" t="n">
        <v>426</v>
      </c>
      <c r="J324" s="6" t="n">
        <v>280</v>
      </c>
      <c r="K324" s="3" t="n">
        <v>2</v>
      </c>
      <c r="L324" s="3" t="s">
        <v>26</v>
      </c>
      <c r="M324" s="6" t="n">
        <v>3408</v>
      </c>
      <c r="N324" s="6" t="n">
        <v>1168</v>
      </c>
    </row>
    <row r="325" customFormat="false" ht="15" hidden="false" customHeight="true" outlineLevel="0" collapsed="false">
      <c r="A325" s="7" t="s">
        <v>421</v>
      </c>
      <c r="B325" s="8" t="n">
        <v>45030</v>
      </c>
      <c r="C325" s="7" t="s">
        <v>15</v>
      </c>
      <c r="D325" s="7" t="s">
        <v>16</v>
      </c>
      <c r="E325" s="7" t="s">
        <v>30</v>
      </c>
      <c r="F325" s="7" t="s">
        <v>126</v>
      </c>
      <c r="G325" s="9" t="s">
        <v>127</v>
      </c>
      <c r="H325" s="7" t="n">
        <v>6</v>
      </c>
      <c r="I325" s="10" t="n">
        <v>609</v>
      </c>
      <c r="J325" s="10" t="n">
        <v>400</v>
      </c>
      <c r="K325" s="7" t="n">
        <v>42</v>
      </c>
      <c r="L325" s="7" t="s">
        <v>26</v>
      </c>
      <c r="M325" s="10" t="n">
        <v>3654</v>
      </c>
      <c r="N325" s="10" t="n">
        <v>1254</v>
      </c>
    </row>
    <row r="326" customFormat="false" ht="15" hidden="false" customHeight="true" outlineLevel="0" collapsed="false">
      <c r="A326" s="3" t="s">
        <v>422</v>
      </c>
      <c r="B326" s="4" t="n">
        <v>45031</v>
      </c>
      <c r="C326" s="3" t="s">
        <v>94</v>
      </c>
      <c r="D326" s="3" t="s">
        <v>48</v>
      </c>
      <c r="E326" s="3" t="s">
        <v>23</v>
      </c>
      <c r="F326" s="3" t="s">
        <v>24</v>
      </c>
      <c r="G326" s="5" t="s">
        <v>25</v>
      </c>
      <c r="H326" s="3" t="n">
        <v>10</v>
      </c>
      <c r="I326" s="6" t="n">
        <v>427</v>
      </c>
      <c r="J326" s="6" t="n">
        <v>350</v>
      </c>
      <c r="K326" s="3" t="n">
        <v>48</v>
      </c>
      <c r="L326" s="3" t="s">
        <v>20</v>
      </c>
      <c r="M326" s="6" t="n">
        <v>4270</v>
      </c>
      <c r="N326" s="6" t="n">
        <v>770</v>
      </c>
    </row>
    <row r="327" customFormat="false" ht="15" hidden="false" customHeight="true" outlineLevel="0" collapsed="false">
      <c r="A327" s="7" t="s">
        <v>423</v>
      </c>
      <c r="B327" s="8" t="n">
        <v>45033</v>
      </c>
      <c r="C327" s="7" t="s">
        <v>43</v>
      </c>
      <c r="D327" s="7" t="s">
        <v>16</v>
      </c>
      <c r="E327" s="7" t="s">
        <v>77</v>
      </c>
      <c r="F327" s="7" t="s">
        <v>81</v>
      </c>
      <c r="G327" s="9" t="s">
        <v>82</v>
      </c>
      <c r="H327" s="7" t="n">
        <v>1</v>
      </c>
      <c r="I327" s="10" t="n">
        <v>818</v>
      </c>
      <c r="J327" s="10" t="n">
        <v>600</v>
      </c>
      <c r="K327" s="7" t="n">
        <v>4</v>
      </c>
      <c r="L327" s="7" t="s">
        <v>26</v>
      </c>
      <c r="M327" s="10" t="n">
        <v>818</v>
      </c>
      <c r="N327" s="10" t="n">
        <v>218</v>
      </c>
    </row>
    <row r="328" customFormat="false" ht="15" hidden="false" customHeight="true" outlineLevel="0" collapsed="false">
      <c r="A328" s="3" t="s">
        <v>424</v>
      </c>
      <c r="B328" s="4" t="n">
        <v>45033</v>
      </c>
      <c r="C328" s="3" t="s">
        <v>28</v>
      </c>
      <c r="D328" s="3" t="s">
        <v>29</v>
      </c>
      <c r="E328" s="3" t="s">
        <v>77</v>
      </c>
      <c r="F328" s="3" t="s">
        <v>180</v>
      </c>
      <c r="G328" s="5" t="s">
        <v>181</v>
      </c>
      <c r="H328" s="3" t="n">
        <v>14</v>
      </c>
      <c r="I328" s="6" t="n">
        <v>242</v>
      </c>
      <c r="J328" s="6" t="n">
        <v>180</v>
      </c>
      <c r="K328" s="3" t="n">
        <v>47</v>
      </c>
      <c r="L328" s="3" t="s">
        <v>26</v>
      </c>
      <c r="M328" s="6" t="n">
        <v>3388</v>
      </c>
      <c r="N328" s="6" t="n">
        <v>868</v>
      </c>
    </row>
    <row r="329" customFormat="false" ht="15" hidden="false" customHeight="true" outlineLevel="0" collapsed="false">
      <c r="A329" s="7" t="s">
        <v>425</v>
      </c>
      <c r="B329" s="8" t="n">
        <v>45034</v>
      </c>
      <c r="C329" s="7" t="s">
        <v>22</v>
      </c>
      <c r="D329" s="7" t="s">
        <v>16</v>
      </c>
      <c r="E329" s="7" t="s">
        <v>30</v>
      </c>
      <c r="F329" s="7" t="s">
        <v>118</v>
      </c>
      <c r="G329" s="9" t="s">
        <v>119</v>
      </c>
      <c r="H329" s="7" t="n">
        <v>2</v>
      </c>
      <c r="I329" s="10" t="n">
        <v>419</v>
      </c>
      <c r="J329" s="10" t="n">
        <v>280</v>
      </c>
      <c r="K329" s="7" t="n">
        <v>0</v>
      </c>
      <c r="L329" s="7" t="s">
        <v>26</v>
      </c>
      <c r="M329" s="10" t="n">
        <v>838</v>
      </c>
      <c r="N329" s="10" t="n">
        <v>278</v>
      </c>
    </row>
    <row r="330" customFormat="false" ht="15" hidden="false" customHeight="true" outlineLevel="0" collapsed="false">
      <c r="A330" s="3" t="s">
        <v>426</v>
      </c>
      <c r="B330" s="4" t="n">
        <v>45037</v>
      </c>
      <c r="C330" s="3" t="s">
        <v>34</v>
      </c>
      <c r="D330" s="3" t="s">
        <v>35</v>
      </c>
      <c r="E330" s="3" t="s">
        <v>30</v>
      </c>
      <c r="F330" s="3" t="s">
        <v>31</v>
      </c>
      <c r="G330" s="5" t="s">
        <v>32</v>
      </c>
      <c r="H330" s="3" t="n">
        <v>9</v>
      </c>
      <c r="I330" s="6" t="n">
        <v>1734</v>
      </c>
      <c r="J330" s="6" t="n">
        <v>1200</v>
      </c>
      <c r="K330" s="3" t="n">
        <v>13</v>
      </c>
      <c r="L330" s="3" t="s">
        <v>20</v>
      </c>
      <c r="M330" s="6" t="n">
        <v>15606</v>
      </c>
      <c r="N330" s="6" t="n">
        <v>4806</v>
      </c>
    </row>
    <row r="331" customFormat="false" ht="15" hidden="false" customHeight="true" outlineLevel="0" collapsed="false">
      <c r="A331" s="7" t="s">
        <v>427</v>
      </c>
      <c r="B331" s="8" t="n">
        <v>45038</v>
      </c>
      <c r="C331" s="7" t="s">
        <v>15</v>
      </c>
      <c r="D331" s="7" t="s">
        <v>16</v>
      </c>
      <c r="E331" s="7" t="s">
        <v>39</v>
      </c>
      <c r="F331" s="7" t="s">
        <v>161</v>
      </c>
      <c r="G331" s="9" t="s">
        <v>162</v>
      </c>
      <c r="H331" s="7" t="n">
        <v>13</v>
      </c>
      <c r="I331" s="10" t="n">
        <v>401</v>
      </c>
      <c r="J331" s="10" t="n">
        <v>350</v>
      </c>
      <c r="K331" s="7" t="n">
        <v>44</v>
      </c>
      <c r="L331" s="7" t="s">
        <v>26</v>
      </c>
      <c r="M331" s="10" t="n">
        <v>5213</v>
      </c>
      <c r="N331" s="10" t="n">
        <v>663</v>
      </c>
    </row>
    <row r="332" customFormat="false" ht="15" hidden="false" customHeight="true" outlineLevel="0" collapsed="false">
      <c r="A332" s="3" t="s">
        <v>428</v>
      </c>
      <c r="B332" s="4" t="n">
        <v>45038</v>
      </c>
      <c r="C332" s="3" t="s">
        <v>43</v>
      </c>
      <c r="D332" s="3" t="s">
        <v>16</v>
      </c>
      <c r="E332" s="3" t="s">
        <v>30</v>
      </c>
      <c r="F332" s="3" t="s">
        <v>118</v>
      </c>
      <c r="G332" s="5" t="s">
        <v>119</v>
      </c>
      <c r="H332" s="3" t="n">
        <v>8</v>
      </c>
      <c r="I332" s="6" t="n">
        <v>412</v>
      </c>
      <c r="J332" s="6" t="n">
        <v>280</v>
      </c>
      <c r="K332" s="3" t="n">
        <v>0</v>
      </c>
      <c r="L332" s="3" t="s">
        <v>26</v>
      </c>
      <c r="M332" s="6" t="n">
        <v>3296</v>
      </c>
      <c r="N332" s="6" t="n">
        <v>1056</v>
      </c>
    </row>
    <row r="333" customFormat="false" ht="15" hidden="false" customHeight="true" outlineLevel="0" collapsed="false">
      <c r="A333" s="7" t="s">
        <v>429</v>
      </c>
      <c r="B333" s="8" t="n">
        <v>45039</v>
      </c>
      <c r="C333" s="7" t="s">
        <v>58</v>
      </c>
      <c r="D333" s="7" t="s">
        <v>48</v>
      </c>
      <c r="E333" s="7" t="s">
        <v>77</v>
      </c>
      <c r="F333" s="7" t="s">
        <v>180</v>
      </c>
      <c r="G333" s="9" t="s">
        <v>181</v>
      </c>
      <c r="H333" s="7" t="n">
        <v>7</v>
      </c>
      <c r="I333" s="10" t="n">
        <v>247</v>
      </c>
      <c r="J333" s="10" t="n">
        <v>180</v>
      </c>
      <c r="K333" s="7" t="n">
        <v>35</v>
      </c>
      <c r="L333" s="7" t="s">
        <v>26</v>
      </c>
      <c r="M333" s="10" t="n">
        <v>1729</v>
      </c>
      <c r="N333" s="10" t="n">
        <v>469</v>
      </c>
    </row>
    <row r="334" customFormat="false" ht="15" hidden="false" customHeight="true" outlineLevel="0" collapsed="false">
      <c r="A334" s="3" t="s">
        <v>430</v>
      </c>
      <c r="B334" s="4" t="n">
        <v>45041</v>
      </c>
      <c r="C334" s="3" t="s">
        <v>22</v>
      </c>
      <c r="D334" s="3" t="s">
        <v>16</v>
      </c>
      <c r="E334" s="3" t="s">
        <v>23</v>
      </c>
      <c r="F334" s="3" t="s">
        <v>204</v>
      </c>
      <c r="G334" s="5" t="s">
        <v>205</v>
      </c>
      <c r="H334" s="3" t="n">
        <v>10</v>
      </c>
      <c r="I334" s="6" t="n">
        <v>2260</v>
      </c>
      <c r="J334" s="6" t="n">
        <v>1800</v>
      </c>
      <c r="K334" s="3" t="n">
        <v>24</v>
      </c>
      <c r="L334" s="3" t="s">
        <v>20</v>
      </c>
      <c r="M334" s="6" t="n">
        <v>22600</v>
      </c>
      <c r="N334" s="6" t="n">
        <v>4600</v>
      </c>
    </row>
    <row r="335" customFormat="false" ht="15" hidden="false" customHeight="true" outlineLevel="0" collapsed="false">
      <c r="A335" s="7" t="s">
        <v>431</v>
      </c>
      <c r="B335" s="8" t="n">
        <v>45045</v>
      </c>
      <c r="C335" s="7" t="s">
        <v>58</v>
      </c>
      <c r="D335" s="7" t="s">
        <v>48</v>
      </c>
      <c r="E335" s="7" t="s">
        <v>77</v>
      </c>
      <c r="F335" s="7" t="s">
        <v>180</v>
      </c>
      <c r="G335" s="9" t="s">
        <v>181</v>
      </c>
      <c r="H335" s="7" t="n">
        <v>3</v>
      </c>
      <c r="I335" s="10" t="n">
        <v>256</v>
      </c>
      <c r="J335" s="10" t="n">
        <v>180</v>
      </c>
      <c r="K335" s="7" t="n">
        <v>24</v>
      </c>
      <c r="L335" s="7" t="s">
        <v>20</v>
      </c>
      <c r="M335" s="10" t="n">
        <v>768</v>
      </c>
      <c r="N335" s="10" t="n">
        <v>228</v>
      </c>
    </row>
    <row r="336" customFormat="false" ht="15" hidden="false" customHeight="true" outlineLevel="0" collapsed="false">
      <c r="A336" s="3" t="s">
        <v>432</v>
      </c>
      <c r="B336" s="4" t="n">
        <v>45045</v>
      </c>
      <c r="C336" s="3" t="s">
        <v>94</v>
      </c>
      <c r="D336" s="3" t="s">
        <v>48</v>
      </c>
      <c r="E336" s="3" t="s">
        <v>30</v>
      </c>
      <c r="F336" s="3" t="s">
        <v>36</v>
      </c>
      <c r="G336" s="5" t="s">
        <v>37</v>
      </c>
      <c r="H336" s="3" t="n">
        <v>13</v>
      </c>
      <c r="I336" s="6" t="n">
        <v>678</v>
      </c>
      <c r="J336" s="6" t="n">
        <v>450</v>
      </c>
      <c r="K336" s="3" t="n">
        <v>9</v>
      </c>
      <c r="L336" s="3" t="s">
        <v>20</v>
      </c>
      <c r="M336" s="6" t="n">
        <v>8814</v>
      </c>
      <c r="N336" s="6" t="n">
        <v>2964</v>
      </c>
    </row>
    <row r="337" customFormat="false" ht="15" hidden="false" customHeight="true" outlineLevel="0" collapsed="false">
      <c r="A337" s="7" t="s">
        <v>433</v>
      </c>
      <c r="B337" s="8" t="n">
        <v>45046</v>
      </c>
      <c r="C337" s="7" t="s">
        <v>47</v>
      </c>
      <c r="D337" s="7" t="s">
        <v>48</v>
      </c>
      <c r="E337" s="7" t="s">
        <v>17</v>
      </c>
      <c r="F337" s="7" t="s">
        <v>44</v>
      </c>
      <c r="G337" s="9" t="s">
        <v>45</v>
      </c>
      <c r="H337" s="7" t="n">
        <v>12</v>
      </c>
      <c r="I337" s="10" t="n">
        <v>351</v>
      </c>
      <c r="J337" s="10" t="n">
        <v>250</v>
      </c>
      <c r="K337" s="7" t="n">
        <v>42</v>
      </c>
      <c r="L337" s="7" t="s">
        <v>26</v>
      </c>
      <c r="M337" s="10" t="n">
        <v>4212</v>
      </c>
      <c r="N337" s="10" t="n">
        <v>1212</v>
      </c>
    </row>
    <row r="338" customFormat="false" ht="15" hidden="false" customHeight="true" outlineLevel="0" collapsed="false">
      <c r="A338" s="3" t="s">
        <v>434</v>
      </c>
      <c r="B338" s="4" t="n">
        <v>45049</v>
      </c>
      <c r="C338" s="3" t="s">
        <v>58</v>
      </c>
      <c r="D338" s="3" t="s">
        <v>48</v>
      </c>
      <c r="E338" s="3" t="s">
        <v>30</v>
      </c>
      <c r="F338" s="3" t="s">
        <v>87</v>
      </c>
      <c r="G338" s="5" t="s">
        <v>88</v>
      </c>
      <c r="H338" s="3" t="n">
        <v>8</v>
      </c>
      <c r="I338" s="6" t="n">
        <v>996</v>
      </c>
      <c r="J338" s="6" t="n">
        <v>700</v>
      </c>
      <c r="K338" s="3" t="n">
        <v>39</v>
      </c>
      <c r="L338" s="3" t="s">
        <v>26</v>
      </c>
      <c r="M338" s="6" t="n">
        <v>7968</v>
      </c>
      <c r="N338" s="6" t="n">
        <v>2368</v>
      </c>
    </row>
    <row r="339" customFormat="false" ht="15" hidden="false" customHeight="true" outlineLevel="0" collapsed="false">
      <c r="A339" s="7" t="s">
        <v>435</v>
      </c>
      <c r="B339" s="8" t="n">
        <v>45054</v>
      </c>
      <c r="C339" s="7" t="s">
        <v>15</v>
      </c>
      <c r="D339" s="7" t="s">
        <v>16</v>
      </c>
      <c r="E339" s="7" t="s">
        <v>77</v>
      </c>
      <c r="F339" s="7" t="s">
        <v>129</v>
      </c>
      <c r="G339" s="9" t="s">
        <v>130</v>
      </c>
      <c r="H339" s="7" t="n">
        <v>2</v>
      </c>
      <c r="I339" s="10" t="n">
        <v>171</v>
      </c>
      <c r="J339" s="10" t="n">
        <v>120</v>
      </c>
      <c r="K339" s="7" t="n">
        <v>16</v>
      </c>
      <c r="L339" s="7" t="s">
        <v>26</v>
      </c>
      <c r="M339" s="10" t="n">
        <v>342</v>
      </c>
      <c r="N339" s="10" t="n">
        <v>102</v>
      </c>
    </row>
    <row r="340" customFormat="false" ht="15" hidden="false" customHeight="true" outlineLevel="0" collapsed="false">
      <c r="A340" s="3" t="s">
        <v>436</v>
      </c>
      <c r="B340" s="4" t="n">
        <v>45054</v>
      </c>
      <c r="C340" s="3" t="s">
        <v>58</v>
      </c>
      <c r="D340" s="3" t="s">
        <v>48</v>
      </c>
      <c r="E340" s="3" t="s">
        <v>17</v>
      </c>
      <c r="F340" s="3" t="s">
        <v>66</v>
      </c>
      <c r="G340" s="5" t="s">
        <v>67</v>
      </c>
      <c r="H340" s="3" t="n">
        <v>9</v>
      </c>
      <c r="I340" s="6" t="n">
        <v>473</v>
      </c>
      <c r="J340" s="6" t="n">
        <v>350</v>
      </c>
      <c r="K340" s="3" t="n">
        <v>19</v>
      </c>
      <c r="L340" s="3" t="s">
        <v>26</v>
      </c>
      <c r="M340" s="6" t="n">
        <v>4257</v>
      </c>
      <c r="N340" s="6" t="n">
        <v>1107</v>
      </c>
    </row>
    <row r="341" customFormat="false" ht="15" hidden="false" customHeight="true" outlineLevel="0" collapsed="false">
      <c r="A341" s="7" t="s">
        <v>437</v>
      </c>
      <c r="B341" s="8" t="n">
        <v>45057</v>
      </c>
      <c r="C341" s="7" t="s">
        <v>22</v>
      </c>
      <c r="D341" s="7" t="s">
        <v>16</v>
      </c>
      <c r="E341" s="7" t="s">
        <v>77</v>
      </c>
      <c r="F341" s="7" t="s">
        <v>129</v>
      </c>
      <c r="G341" s="9" t="s">
        <v>130</v>
      </c>
      <c r="H341" s="7" t="n">
        <v>12</v>
      </c>
      <c r="I341" s="10" t="n">
        <v>173</v>
      </c>
      <c r="J341" s="10" t="n">
        <v>120</v>
      </c>
      <c r="K341" s="7" t="n">
        <v>18</v>
      </c>
      <c r="L341" s="7" t="s">
        <v>26</v>
      </c>
      <c r="M341" s="10" t="n">
        <v>2076</v>
      </c>
      <c r="N341" s="10" t="n">
        <v>636</v>
      </c>
    </row>
    <row r="342" customFormat="false" ht="15" hidden="false" customHeight="true" outlineLevel="0" collapsed="false">
      <c r="A342" s="3" t="s">
        <v>438</v>
      </c>
      <c r="B342" s="4" t="n">
        <v>45057</v>
      </c>
      <c r="C342" s="3" t="s">
        <v>15</v>
      </c>
      <c r="D342" s="3" t="s">
        <v>16</v>
      </c>
      <c r="E342" s="3" t="s">
        <v>39</v>
      </c>
      <c r="F342" s="3" t="s">
        <v>161</v>
      </c>
      <c r="G342" s="5" t="s">
        <v>162</v>
      </c>
      <c r="H342" s="3" t="n">
        <v>10</v>
      </c>
      <c r="I342" s="6" t="n">
        <v>427</v>
      </c>
      <c r="J342" s="6" t="n">
        <v>350</v>
      </c>
      <c r="K342" s="3" t="n">
        <v>15</v>
      </c>
      <c r="L342" s="3" t="s">
        <v>26</v>
      </c>
      <c r="M342" s="6" t="n">
        <v>4270</v>
      </c>
      <c r="N342" s="6" t="n">
        <v>770</v>
      </c>
    </row>
    <row r="343" customFormat="false" ht="15" hidden="false" customHeight="true" outlineLevel="0" collapsed="false">
      <c r="A343" s="7" t="s">
        <v>439</v>
      </c>
      <c r="B343" s="8" t="n">
        <v>45057</v>
      </c>
      <c r="C343" s="7" t="s">
        <v>34</v>
      </c>
      <c r="D343" s="7" t="s">
        <v>35</v>
      </c>
      <c r="E343" s="7" t="s">
        <v>77</v>
      </c>
      <c r="F343" s="7" t="s">
        <v>78</v>
      </c>
      <c r="G343" s="9" t="s">
        <v>79</v>
      </c>
      <c r="H343" s="7" t="n">
        <v>2</v>
      </c>
      <c r="I343" s="10" t="n">
        <v>1217</v>
      </c>
      <c r="J343" s="10" t="n">
        <v>900</v>
      </c>
      <c r="K343" s="7" t="n">
        <v>16</v>
      </c>
      <c r="L343" s="7" t="s">
        <v>26</v>
      </c>
      <c r="M343" s="10" t="n">
        <v>2434</v>
      </c>
      <c r="N343" s="10" t="n">
        <v>634</v>
      </c>
    </row>
    <row r="344" customFormat="false" ht="15" hidden="false" customHeight="true" outlineLevel="0" collapsed="false">
      <c r="A344" s="3" t="s">
        <v>440</v>
      </c>
      <c r="B344" s="4" t="n">
        <v>45058</v>
      </c>
      <c r="C344" s="3" t="s">
        <v>15</v>
      </c>
      <c r="D344" s="3" t="s">
        <v>16</v>
      </c>
      <c r="E344" s="3" t="s">
        <v>30</v>
      </c>
      <c r="F344" s="3" t="s">
        <v>87</v>
      </c>
      <c r="G344" s="5" t="s">
        <v>88</v>
      </c>
      <c r="H344" s="3" t="n">
        <v>15</v>
      </c>
      <c r="I344" s="6" t="n">
        <v>1020</v>
      </c>
      <c r="J344" s="6" t="n">
        <v>700</v>
      </c>
      <c r="K344" s="3" t="n">
        <v>34</v>
      </c>
      <c r="L344" s="3" t="s">
        <v>26</v>
      </c>
      <c r="M344" s="6" t="n">
        <v>15300</v>
      </c>
      <c r="N344" s="6" t="n">
        <v>4800</v>
      </c>
    </row>
    <row r="345" customFormat="false" ht="15" hidden="false" customHeight="true" outlineLevel="0" collapsed="false">
      <c r="A345" s="7" t="s">
        <v>441</v>
      </c>
      <c r="B345" s="8" t="n">
        <v>45062</v>
      </c>
      <c r="C345" s="7" t="s">
        <v>72</v>
      </c>
      <c r="D345" s="7" t="s">
        <v>35</v>
      </c>
      <c r="E345" s="7" t="s">
        <v>62</v>
      </c>
      <c r="F345" s="7" t="s">
        <v>96</v>
      </c>
      <c r="G345" s="9" t="s">
        <v>97</v>
      </c>
      <c r="H345" s="7" t="n">
        <v>4</v>
      </c>
      <c r="I345" s="10" t="n">
        <v>108</v>
      </c>
      <c r="J345" s="10" t="n">
        <v>80</v>
      </c>
      <c r="K345" s="7" t="n">
        <v>21</v>
      </c>
      <c r="L345" s="7" t="s">
        <v>20</v>
      </c>
      <c r="M345" s="10" t="n">
        <v>432</v>
      </c>
      <c r="N345" s="10" t="n">
        <v>112</v>
      </c>
    </row>
    <row r="346" customFormat="false" ht="15" hidden="false" customHeight="true" outlineLevel="0" collapsed="false">
      <c r="A346" s="3" t="s">
        <v>442</v>
      </c>
      <c r="B346" s="4" t="n">
        <v>45063</v>
      </c>
      <c r="C346" s="3" t="s">
        <v>111</v>
      </c>
      <c r="D346" s="3" t="s">
        <v>29</v>
      </c>
      <c r="E346" s="3" t="s">
        <v>77</v>
      </c>
      <c r="F346" s="3" t="s">
        <v>180</v>
      </c>
      <c r="G346" s="5" t="s">
        <v>181</v>
      </c>
      <c r="H346" s="3" t="n">
        <v>11</v>
      </c>
      <c r="I346" s="6" t="n">
        <v>238</v>
      </c>
      <c r="J346" s="6" t="n">
        <v>180</v>
      </c>
      <c r="K346" s="3" t="n">
        <v>6</v>
      </c>
      <c r="L346" s="3" t="s">
        <v>26</v>
      </c>
      <c r="M346" s="6" t="n">
        <v>2618</v>
      </c>
      <c r="N346" s="6" t="n">
        <v>638</v>
      </c>
    </row>
    <row r="347" customFormat="false" ht="15" hidden="false" customHeight="true" outlineLevel="0" collapsed="false">
      <c r="A347" s="7" t="s">
        <v>443</v>
      </c>
      <c r="B347" s="8" t="n">
        <v>45063</v>
      </c>
      <c r="C347" s="7" t="s">
        <v>58</v>
      </c>
      <c r="D347" s="7" t="s">
        <v>48</v>
      </c>
      <c r="E347" s="7" t="s">
        <v>62</v>
      </c>
      <c r="F347" s="7" t="s">
        <v>84</v>
      </c>
      <c r="G347" s="9" t="s">
        <v>85</v>
      </c>
      <c r="H347" s="7" t="n">
        <v>12</v>
      </c>
      <c r="I347" s="10" t="n">
        <v>477</v>
      </c>
      <c r="J347" s="10" t="n">
        <v>350</v>
      </c>
      <c r="K347" s="7" t="n">
        <v>32</v>
      </c>
      <c r="L347" s="7" t="s">
        <v>20</v>
      </c>
      <c r="M347" s="10" t="n">
        <v>5724</v>
      </c>
      <c r="N347" s="10" t="n">
        <v>1524</v>
      </c>
    </row>
    <row r="348" customFormat="false" ht="15" hidden="false" customHeight="true" outlineLevel="0" collapsed="false">
      <c r="A348" s="3" t="s">
        <v>444</v>
      </c>
      <c r="B348" s="4" t="n">
        <v>45063</v>
      </c>
      <c r="C348" s="3" t="s">
        <v>15</v>
      </c>
      <c r="D348" s="3" t="s">
        <v>16</v>
      </c>
      <c r="E348" s="3" t="s">
        <v>23</v>
      </c>
      <c r="F348" s="3" t="s">
        <v>24</v>
      </c>
      <c r="G348" s="5" t="s">
        <v>25</v>
      </c>
      <c r="H348" s="3" t="n">
        <v>13</v>
      </c>
      <c r="I348" s="6" t="n">
        <v>417</v>
      </c>
      <c r="J348" s="6" t="n">
        <v>350</v>
      </c>
      <c r="K348" s="3" t="n">
        <v>42</v>
      </c>
      <c r="L348" s="3" t="s">
        <v>26</v>
      </c>
      <c r="M348" s="6" t="n">
        <v>5421</v>
      </c>
      <c r="N348" s="6" t="n">
        <v>871</v>
      </c>
    </row>
    <row r="349" customFormat="false" ht="15" hidden="false" customHeight="true" outlineLevel="0" collapsed="false">
      <c r="A349" s="7" t="s">
        <v>445</v>
      </c>
      <c r="B349" s="8" t="n">
        <v>45064</v>
      </c>
      <c r="C349" s="7" t="s">
        <v>94</v>
      </c>
      <c r="D349" s="7" t="s">
        <v>48</v>
      </c>
      <c r="E349" s="7" t="s">
        <v>62</v>
      </c>
      <c r="F349" s="7" t="s">
        <v>69</v>
      </c>
      <c r="G349" s="9" t="s">
        <v>70</v>
      </c>
      <c r="H349" s="7" t="n">
        <v>4</v>
      </c>
      <c r="I349" s="10" t="n">
        <v>68</v>
      </c>
      <c r="J349" s="10" t="n">
        <v>50</v>
      </c>
      <c r="K349" s="7" t="n">
        <v>40</v>
      </c>
      <c r="L349" s="7" t="s">
        <v>26</v>
      </c>
      <c r="M349" s="10" t="n">
        <v>272</v>
      </c>
      <c r="N349" s="10" t="n">
        <v>72</v>
      </c>
    </row>
    <row r="350" customFormat="false" ht="15" hidden="false" customHeight="true" outlineLevel="0" collapsed="false">
      <c r="A350" s="3" t="s">
        <v>446</v>
      </c>
      <c r="B350" s="4" t="n">
        <v>45066</v>
      </c>
      <c r="C350" s="3" t="s">
        <v>22</v>
      </c>
      <c r="D350" s="3" t="s">
        <v>16</v>
      </c>
      <c r="E350" s="3" t="s">
        <v>77</v>
      </c>
      <c r="F350" s="3" t="s">
        <v>81</v>
      </c>
      <c r="G350" s="5" t="s">
        <v>82</v>
      </c>
      <c r="H350" s="3" t="n">
        <v>8</v>
      </c>
      <c r="I350" s="6" t="n">
        <v>791</v>
      </c>
      <c r="J350" s="6" t="n">
        <v>600</v>
      </c>
      <c r="K350" s="3" t="n">
        <v>16</v>
      </c>
      <c r="L350" s="3" t="s">
        <v>26</v>
      </c>
      <c r="M350" s="6" t="n">
        <v>6328</v>
      </c>
      <c r="N350" s="6" t="n">
        <v>1528</v>
      </c>
    </row>
    <row r="351" customFormat="false" ht="15" hidden="false" customHeight="true" outlineLevel="0" collapsed="false">
      <c r="A351" s="7" t="s">
        <v>447</v>
      </c>
      <c r="B351" s="8" t="n">
        <v>45066</v>
      </c>
      <c r="C351" s="7" t="s">
        <v>47</v>
      </c>
      <c r="D351" s="7" t="s">
        <v>48</v>
      </c>
      <c r="E351" s="7" t="s">
        <v>39</v>
      </c>
      <c r="F351" s="7" t="s">
        <v>99</v>
      </c>
      <c r="G351" s="9" t="s">
        <v>100</v>
      </c>
      <c r="H351" s="7" t="n">
        <v>12</v>
      </c>
      <c r="I351" s="10" t="n">
        <v>260</v>
      </c>
      <c r="J351" s="10" t="n">
        <v>220</v>
      </c>
      <c r="K351" s="7" t="n">
        <v>8</v>
      </c>
      <c r="L351" s="7" t="s">
        <v>26</v>
      </c>
      <c r="M351" s="10" t="n">
        <v>3120</v>
      </c>
      <c r="N351" s="10" t="n">
        <v>480</v>
      </c>
    </row>
    <row r="352" customFormat="false" ht="15" hidden="false" customHeight="true" outlineLevel="0" collapsed="false">
      <c r="A352" s="3" t="s">
        <v>448</v>
      </c>
      <c r="B352" s="4" t="n">
        <v>45068</v>
      </c>
      <c r="C352" s="3" t="s">
        <v>15</v>
      </c>
      <c r="D352" s="3" t="s">
        <v>16</v>
      </c>
      <c r="E352" s="3" t="s">
        <v>39</v>
      </c>
      <c r="F352" s="3" t="s">
        <v>143</v>
      </c>
      <c r="G352" s="5" t="s">
        <v>144</v>
      </c>
      <c r="H352" s="3" t="n">
        <v>4</v>
      </c>
      <c r="I352" s="6" t="n">
        <v>330</v>
      </c>
      <c r="J352" s="6" t="n">
        <v>280</v>
      </c>
      <c r="K352" s="3" t="n">
        <v>41</v>
      </c>
      <c r="L352" s="3" t="s">
        <v>26</v>
      </c>
      <c r="M352" s="6" t="n">
        <v>1320</v>
      </c>
      <c r="N352" s="6" t="n">
        <v>200</v>
      </c>
    </row>
    <row r="353" customFormat="false" ht="15" hidden="false" customHeight="true" outlineLevel="0" collapsed="false">
      <c r="A353" s="7" t="s">
        <v>449</v>
      </c>
      <c r="B353" s="8" t="n">
        <v>45069</v>
      </c>
      <c r="C353" s="7" t="s">
        <v>72</v>
      </c>
      <c r="D353" s="7" t="s">
        <v>35</v>
      </c>
      <c r="E353" s="7" t="s">
        <v>23</v>
      </c>
      <c r="F353" s="7" t="s">
        <v>198</v>
      </c>
      <c r="G353" s="9" t="s">
        <v>199</v>
      </c>
      <c r="H353" s="7" t="n">
        <v>5</v>
      </c>
      <c r="I353" s="10" t="n">
        <v>1068</v>
      </c>
      <c r="J353" s="10" t="n">
        <v>900</v>
      </c>
      <c r="K353" s="7" t="n">
        <v>35</v>
      </c>
      <c r="L353" s="7" t="s">
        <v>20</v>
      </c>
      <c r="M353" s="10" t="n">
        <v>5340</v>
      </c>
      <c r="N353" s="10" t="n">
        <v>840</v>
      </c>
    </row>
    <row r="354" customFormat="false" ht="15" hidden="false" customHeight="true" outlineLevel="0" collapsed="false">
      <c r="A354" s="3" t="s">
        <v>450</v>
      </c>
      <c r="B354" s="4" t="n">
        <v>45071</v>
      </c>
      <c r="C354" s="3" t="s">
        <v>47</v>
      </c>
      <c r="D354" s="3" t="s">
        <v>48</v>
      </c>
      <c r="E354" s="3" t="s">
        <v>30</v>
      </c>
      <c r="F354" s="3" t="s">
        <v>126</v>
      </c>
      <c r="G354" s="5" t="s">
        <v>127</v>
      </c>
      <c r="H354" s="3" t="n">
        <v>10</v>
      </c>
      <c r="I354" s="6" t="n">
        <v>561</v>
      </c>
      <c r="J354" s="6" t="n">
        <v>400</v>
      </c>
      <c r="K354" s="3" t="n">
        <v>45</v>
      </c>
      <c r="L354" s="3" t="s">
        <v>20</v>
      </c>
      <c r="M354" s="6" t="n">
        <v>5610</v>
      </c>
      <c r="N354" s="6" t="n">
        <v>1610</v>
      </c>
    </row>
    <row r="355" customFormat="false" ht="15" hidden="false" customHeight="true" outlineLevel="0" collapsed="false">
      <c r="A355" s="7" t="s">
        <v>451</v>
      </c>
      <c r="B355" s="8" t="n">
        <v>45071</v>
      </c>
      <c r="C355" s="7" t="s">
        <v>136</v>
      </c>
      <c r="D355" s="7" t="s">
        <v>35</v>
      </c>
      <c r="E355" s="7" t="s">
        <v>30</v>
      </c>
      <c r="F355" s="7" t="s">
        <v>126</v>
      </c>
      <c r="G355" s="9" t="s">
        <v>127</v>
      </c>
      <c r="H355" s="7" t="n">
        <v>9</v>
      </c>
      <c r="I355" s="10" t="n">
        <v>580</v>
      </c>
      <c r="J355" s="10" t="n">
        <v>400</v>
      </c>
      <c r="K355" s="7" t="n">
        <v>37</v>
      </c>
      <c r="L355" s="7" t="s">
        <v>26</v>
      </c>
      <c r="M355" s="10" t="n">
        <v>5220</v>
      </c>
      <c r="N355" s="10" t="n">
        <v>1620</v>
      </c>
    </row>
    <row r="356" customFormat="false" ht="15" hidden="false" customHeight="true" outlineLevel="0" collapsed="false">
      <c r="A356" s="3" t="s">
        <v>452</v>
      </c>
      <c r="B356" s="4" t="n">
        <v>45073</v>
      </c>
      <c r="C356" s="3" t="s">
        <v>15</v>
      </c>
      <c r="D356" s="3" t="s">
        <v>16</v>
      </c>
      <c r="E356" s="3" t="s">
        <v>39</v>
      </c>
      <c r="F356" s="3" t="s">
        <v>220</v>
      </c>
      <c r="G356" s="5" t="s">
        <v>221</v>
      </c>
      <c r="H356" s="3" t="n">
        <v>4</v>
      </c>
      <c r="I356" s="6" t="n">
        <v>207</v>
      </c>
      <c r="J356" s="6" t="n">
        <v>180</v>
      </c>
      <c r="K356" s="3" t="n">
        <v>26</v>
      </c>
      <c r="L356" s="3" t="s">
        <v>26</v>
      </c>
      <c r="M356" s="6" t="n">
        <v>828</v>
      </c>
      <c r="N356" s="6" t="n">
        <v>108</v>
      </c>
    </row>
    <row r="357" customFormat="false" ht="15" hidden="false" customHeight="true" outlineLevel="0" collapsed="false">
      <c r="A357" s="7" t="s">
        <v>453</v>
      </c>
      <c r="B357" s="8" t="n">
        <v>45078</v>
      </c>
      <c r="C357" s="7" t="s">
        <v>28</v>
      </c>
      <c r="D357" s="7" t="s">
        <v>29</v>
      </c>
      <c r="E357" s="7" t="s">
        <v>62</v>
      </c>
      <c r="F357" s="7" t="s">
        <v>103</v>
      </c>
      <c r="G357" s="9" t="s">
        <v>104</v>
      </c>
      <c r="H357" s="7" t="n">
        <v>13</v>
      </c>
      <c r="I357" s="10" t="n">
        <v>119</v>
      </c>
      <c r="J357" s="10" t="n">
        <v>90</v>
      </c>
      <c r="K357" s="7" t="n">
        <v>45</v>
      </c>
      <c r="L357" s="7" t="s">
        <v>26</v>
      </c>
      <c r="M357" s="10" t="n">
        <v>1547</v>
      </c>
      <c r="N357" s="10" t="n">
        <v>377</v>
      </c>
    </row>
    <row r="358" customFormat="false" ht="15" hidden="false" customHeight="true" outlineLevel="0" collapsed="false">
      <c r="A358" s="3" t="s">
        <v>454</v>
      </c>
      <c r="B358" s="4" t="n">
        <v>45080</v>
      </c>
      <c r="C358" s="3" t="s">
        <v>22</v>
      </c>
      <c r="D358" s="3" t="s">
        <v>16</v>
      </c>
      <c r="E358" s="3" t="s">
        <v>23</v>
      </c>
      <c r="F358" s="3" t="s">
        <v>24</v>
      </c>
      <c r="G358" s="5" t="s">
        <v>25</v>
      </c>
      <c r="H358" s="3" t="n">
        <v>10</v>
      </c>
      <c r="I358" s="6" t="n">
        <v>432</v>
      </c>
      <c r="J358" s="6" t="n">
        <v>350</v>
      </c>
      <c r="K358" s="3" t="n">
        <v>10</v>
      </c>
      <c r="L358" s="3" t="s">
        <v>26</v>
      </c>
      <c r="M358" s="6" t="n">
        <v>4320</v>
      </c>
      <c r="N358" s="6" t="n">
        <v>820</v>
      </c>
    </row>
    <row r="359" customFormat="false" ht="15" hidden="false" customHeight="true" outlineLevel="0" collapsed="false">
      <c r="A359" s="7" t="s">
        <v>455</v>
      </c>
      <c r="B359" s="8" t="n">
        <v>45080</v>
      </c>
      <c r="C359" s="7" t="s">
        <v>52</v>
      </c>
      <c r="D359" s="7" t="s">
        <v>29</v>
      </c>
      <c r="E359" s="7" t="s">
        <v>62</v>
      </c>
      <c r="F359" s="7" t="s">
        <v>63</v>
      </c>
      <c r="G359" s="9" t="s">
        <v>64</v>
      </c>
      <c r="H359" s="7" t="n">
        <v>9</v>
      </c>
      <c r="I359" s="10" t="n">
        <v>84</v>
      </c>
      <c r="J359" s="10" t="n">
        <v>60</v>
      </c>
      <c r="K359" s="7" t="n">
        <v>10</v>
      </c>
      <c r="L359" s="7" t="s">
        <v>26</v>
      </c>
      <c r="M359" s="10" t="n">
        <v>756</v>
      </c>
      <c r="N359" s="10" t="n">
        <v>216</v>
      </c>
    </row>
    <row r="360" customFormat="false" ht="15" hidden="false" customHeight="true" outlineLevel="0" collapsed="false">
      <c r="A360" s="3" t="s">
        <v>456</v>
      </c>
      <c r="B360" s="4" t="n">
        <v>45081</v>
      </c>
      <c r="C360" s="3" t="s">
        <v>94</v>
      </c>
      <c r="D360" s="3" t="s">
        <v>48</v>
      </c>
      <c r="E360" s="3" t="s">
        <v>62</v>
      </c>
      <c r="F360" s="3" t="s">
        <v>69</v>
      </c>
      <c r="G360" s="5" t="s">
        <v>70</v>
      </c>
      <c r="H360" s="3" t="n">
        <v>5</v>
      </c>
      <c r="I360" s="6" t="n">
        <v>70</v>
      </c>
      <c r="J360" s="6" t="n">
        <v>50</v>
      </c>
      <c r="K360" s="3" t="n">
        <v>27</v>
      </c>
      <c r="L360" s="3" t="s">
        <v>26</v>
      </c>
      <c r="M360" s="6" t="n">
        <v>350</v>
      </c>
      <c r="N360" s="6" t="n">
        <v>100</v>
      </c>
    </row>
    <row r="361" customFormat="false" ht="15" hidden="false" customHeight="true" outlineLevel="0" collapsed="false">
      <c r="A361" s="7" t="s">
        <v>457</v>
      </c>
      <c r="B361" s="8" t="n">
        <v>45081</v>
      </c>
      <c r="C361" s="7" t="s">
        <v>111</v>
      </c>
      <c r="D361" s="7" t="s">
        <v>29</v>
      </c>
      <c r="E361" s="7" t="s">
        <v>77</v>
      </c>
      <c r="F361" s="7" t="s">
        <v>81</v>
      </c>
      <c r="G361" s="9" t="s">
        <v>82</v>
      </c>
      <c r="H361" s="7" t="n">
        <v>10</v>
      </c>
      <c r="I361" s="10" t="n">
        <v>867</v>
      </c>
      <c r="J361" s="10" t="n">
        <v>600</v>
      </c>
      <c r="K361" s="7" t="n">
        <v>3</v>
      </c>
      <c r="L361" s="7" t="s">
        <v>26</v>
      </c>
      <c r="M361" s="10" t="n">
        <v>8670</v>
      </c>
      <c r="N361" s="10" t="n">
        <v>2670</v>
      </c>
    </row>
    <row r="362" customFormat="false" ht="15" hidden="false" customHeight="true" outlineLevel="0" collapsed="false">
      <c r="A362" s="3" t="s">
        <v>458</v>
      </c>
      <c r="B362" s="4" t="n">
        <v>45081</v>
      </c>
      <c r="C362" s="3" t="s">
        <v>47</v>
      </c>
      <c r="D362" s="3" t="s">
        <v>48</v>
      </c>
      <c r="E362" s="3" t="s">
        <v>77</v>
      </c>
      <c r="F362" s="3" t="s">
        <v>81</v>
      </c>
      <c r="G362" s="5" t="s">
        <v>82</v>
      </c>
      <c r="H362" s="3" t="n">
        <v>6</v>
      </c>
      <c r="I362" s="6" t="n">
        <v>830</v>
      </c>
      <c r="J362" s="6" t="n">
        <v>600</v>
      </c>
      <c r="K362" s="3" t="n">
        <v>39</v>
      </c>
      <c r="L362" s="3" t="s">
        <v>20</v>
      </c>
      <c r="M362" s="6" t="n">
        <v>4980</v>
      </c>
      <c r="N362" s="6" t="n">
        <v>1380</v>
      </c>
    </row>
    <row r="363" customFormat="false" ht="15" hidden="false" customHeight="true" outlineLevel="0" collapsed="false">
      <c r="A363" s="7" t="s">
        <v>459</v>
      </c>
      <c r="B363" s="8" t="n">
        <v>45082</v>
      </c>
      <c r="C363" s="7" t="s">
        <v>58</v>
      </c>
      <c r="D363" s="7" t="s">
        <v>48</v>
      </c>
      <c r="E363" s="7" t="s">
        <v>39</v>
      </c>
      <c r="F363" s="7" t="s">
        <v>143</v>
      </c>
      <c r="G363" s="9" t="s">
        <v>144</v>
      </c>
      <c r="H363" s="7" t="n">
        <v>8</v>
      </c>
      <c r="I363" s="10" t="n">
        <v>316</v>
      </c>
      <c r="J363" s="10" t="n">
        <v>280</v>
      </c>
      <c r="K363" s="7" t="n">
        <v>5</v>
      </c>
      <c r="L363" s="7" t="s">
        <v>26</v>
      </c>
      <c r="M363" s="10" t="n">
        <v>2528</v>
      </c>
      <c r="N363" s="10" t="n">
        <v>288</v>
      </c>
    </row>
    <row r="364" customFormat="false" ht="15" hidden="false" customHeight="true" outlineLevel="0" collapsed="false">
      <c r="A364" s="3" t="s">
        <v>460</v>
      </c>
      <c r="B364" s="4" t="n">
        <v>45089</v>
      </c>
      <c r="C364" s="3" t="s">
        <v>52</v>
      </c>
      <c r="D364" s="3" t="s">
        <v>29</v>
      </c>
      <c r="E364" s="3" t="s">
        <v>77</v>
      </c>
      <c r="F364" s="3" t="s">
        <v>152</v>
      </c>
      <c r="G364" s="5" t="s">
        <v>153</v>
      </c>
      <c r="H364" s="3" t="n">
        <v>13</v>
      </c>
      <c r="I364" s="6" t="n">
        <v>484</v>
      </c>
      <c r="J364" s="6" t="n">
        <v>350</v>
      </c>
      <c r="K364" s="3" t="n">
        <v>2</v>
      </c>
      <c r="L364" s="3" t="s">
        <v>20</v>
      </c>
      <c r="M364" s="6" t="n">
        <v>6292</v>
      </c>
      <c r="N364" s="6" t="n">
        <v>1742</v>
      </c>
    </row>
    <row r="365" customFormat="false" ht="15" hidden="false" customHeight="true" outlineLevel="0" collapsed="false">
      <c r="A365" s="7" t="s">
        <v>461</v>
      </c>
      <c r="B365" s="8" t="n">
        <v>45089</v>
      </c>
      <c r="C365" s="7" t="s">
        <v>72</v>
      </c>
      <c r="D365" s="7" t="s">
        <v>35</v>
      </c>
      <c r="E365" s="7" t="s">
        <v>30</v>
      </c>
      <c r="F365" s="7" t="s">
        <v>36</v>
      </c>
      <c r="G365" s="9" t="s">
        <v>37</v>
      </c>
      <c r="H365" s="7" t="n">
        <v>15</v>
      </c>
      <c r="I365" s="10" t="n">
        <v>671</v>
      </c>
      <c r="J365" s="10" t="n">
        <v>450</v>
      </c>
      <c r="K365" s="7" t="n">
        <v>26</v>
      </c>
      <c r="L365" s="7" t="s">
        <v>26</v>
      </c>
      <c r="M365" s="10" t="n">
        <v>10065</v>
      </c>
      <c r="N365" s="10" t="n">
        <v>3315</v>
      </c>
    </row>
    <row r="366" customFormat="false" ht="15" hidden="false" customHeight="true" outlineLevel="0" collapsed="false">
      <c r="A366" s="3" t="s">
        <v>462</v>
      </c>
      <c r="B366" s="4" t="n">
        <v>45091</v>
      </c>
      <c r="C366" s="3" t="s">
        <v>94</v>
      </c>
      <c r="D366" s="3" t="s">
        <v>48</v>
      </c>
      <c r="E366" s="3" t="s">
        <v>30</v>
      </c>
      <c r="F366" s="3" t="s">
        <v>118</v>
      </c>
      <c r="G366" s="5" t="s">
        <v>119</v>
      </c>
      <c r="H366" s="3" t="n">
        <v>7</v>
      </c>
      <c r="I366" s="6" t="n">
        <v>398</v>
      </c>
      <c r="J366" s="6" t="n">
        <v>280</v>
      </c>
      <c r="K366" s="3" t="n">
        <v>38</v>
      </c>
      <c r="L366" s="3" t="s">
        <v>20</v>
      </c>
      <c r="M366" s="6" t="n">
        <v>2786</v>
      </c>
      <c r="N366" s="6" t="n">
        <v>826</v>
      </c>
    </row>
    <row r="367" customFormat="false" ht="15" hidden="false" customHeight="true" outlineLevel="0" collapsed="false">
      <c r="A367" s="7" t="s">
        <v>463</v>
      </c>
      <c r="B367" s="8" t="n">
        <v>45093</v>
      </c>
      <c r="C367" s="7" t="s">
        <v>28</v>
      </c>
      <c r="D367" s="7" t="s">
        <v>29</v>
      </c>
      <c r="E367" s="7" t="s">
        <v>30</v>
      </c>
      <c r="F367" s="7" t="s">
        <v>87</v>
      </c>
      <c r="G367" s="9" t="s">
        <v>88</v>
      </c>
      <c r="H367" s="7" t="n">
        <v>6</v>
      </c>
      <c r="I367" s="10" t="n">
        <v>981</v>
      </c>
      <c r="J367" s="10" t="n">
        <v>700</v>
      </c>
      <c r="K367" s="7" t="n">
        <v>28</v>
      </c>
      <c r="L367" s="7" t="s">
        <v>26</v>
      </c>
      <c r="M367" s="10" t="n">
        <v>5886</v>
      </c>
      <c r="N367" s="10" t="n">
        <v>1686</v>
      </c>
    </row>
    <row r="368" customFormat="false" ht="15" hidden="false" customHeight="true" outlineLevel="0" collapsed="false">
      <c r="A368" s="3" t="s">
        <v>464</v>
      </c>
      <c r="B368" s="4" t="n">
        <v>45093</v>
      </c>
      <c r="C368" s="3" t="s">
        <v>28</v>
      </c>
      <c r="D368" s="3" t="s">
        <v>29</v>
      </c>
      <c r="E368" s="3" t="s">
        <v>17</v>
      </c>
      <c r="F368" s="3" t="s">
        <v>59</v>
      </c>
      <c r="G368" s="5" t="s">
        <v>60</v>
      </c>
      <c r="H368" s="3" t="n">
        <v>1</v>
      </c>
      <c r="I368" s="6" t="n">
        <v>374</v>
      </c>
      <c r="J368" s="6" t="n">
        <v>280</v>
      </c>
      <c r="K368" s="3" t="n">
        <v>27</v>
      </c>
      <c r="L368" s="3" t="s">
        <v>26</v>
      </c>
      <c r="M368" s="6" t="n">
        <v>374</v>
      </c>
      <c r="N368" s="6" t="n">
        <v>94</v>
      </c>
    </row>
    <row r="369" customFormat="false" ht="15" hidden="false" customHeight="true" outlineLevel="0" collapsed="false">
      <c r="A369" s="7" t="s">
        <v>465</v>
      </c>
      <c r="B369" s="8" t="n">
        <v>45094</v>
      </c>
      <c r="C369" s="7" t="s">
        <v>94</v>
      </c>
      <c r="D369" s="7" t="s">
        <v>48</v>
      </c>
      <c r="E369" s="7" t="s">
        <v>39</v>
      </c>
      <c r="F369" s="7" t="s">
        <v>40</v>
      </c>
      <c r="G369" s="9" t="s">
        <v>41</v>
      </c>
      <c r="H369" s="7" t="n">
        <v>1</v>
      </c>
      <c r="I369" s="10" t="n">
        <v>102</v>
      </c>
      <c r="J369" s="10" t="n">
        <v>90</v>
      </c>
      <c r="K369" s="7" t="n">
        <v>24</v>
      </c>
      <c r="L369" s="7" t="s">
        <v>20</v>
      </c>
      <c r="M369" s="10" t="n">
        <v>102</v>
      </c>
      <c r="N369" s="10" t="n">
        <v>12</v>
      </c>
    </row>
    <row r="370" customFormat="false" ht="15" hidden="false" customHeight="true" outlineLevel="0" collapsed="false">
      <c r="A370" s="3" t="s">
        <v>466</v>
      </c>
      <c r="B370" s="4" t="n">
        <v>45097</v>
      </c>
      <c r="C370" s="3" t="s">
        <v>136</v>
      </c>
      <c r="D370" s="3" t="s">
        <v>35</v>
      </c>
      <c r="E370" s="3" t="s">
        <v>39</v>
      </c>
      <c r="F370" s="3" t="s">
        <v>99</v>
      </c>
      <c r="G370" s="5" t="s">
        <v>100</v>
      </c>
      <c r="H370" s="3" t="n">
        <v>14</v>
      </c>
      <c r="I370" s="6" t="n">
        <v>259</v>
      </c>
      <c r="J370" s="6" t="n">
        <v>220</v>
      </c>
      <c r="K370" s="3" t="n">
        <v>50</v>
      </c>
      <c r="L370" s="3" t="s">
        <v>26</v>
      </c>
      <c r="M370" s="6" t="n">
        <v>3626</v>
      </c>
      <c r="N370" s="6" t="n">
        <v>546</v>
      </c>
    </row>
    <row r="371" customFormat="false" ht="15" hidden="false" customHeight="true" outlineLevel="0" collapsed="false">
      <c r="A371" s="7" t="s">
        <v>467</v>
      </c>
      <c r="B371" s="8" t="n">
        <v>45098</v>
      </c>
      <c r="C371" s="7" t="s">
        <v>58</v>
      </c>
      <c r="D371" s="7" t="s">
        <v>48</v>
      </c>
      <c r="E371" s="7" t="s">
        <v>39</v>
      </c>
      <c r="F371" s="7" t="s">
        <v>143</v>
      </c>
      <c r="G371" s="9" t="s">
        <v>144</v>
      </c>
      <c r="H371" s="7" t="n">
        <v>2</v>
      </c>
      <c r="I371" s="10" t="n">
        <v>328</v>
      </c>
      <c r="J371" s="10" t="n">
        <v>280</v>
      </c>
      <c r="K371" s="7" t="n">
        <v>33</v>
      </c>
      <c r="L371" s="7" t="s">
        <v>26</v>
      </c>
      <c r="M371" s="10" t="n">
        <v>656</v>
      </c>
      <c r="N371" s="10" t="n">
        <v>96</v>
      </c>
    </row>
    <row r="372" customFormat="false" ht="15" hidden="false" customHeight="true" outlineLevel="0" collapsed="false">
      <c r="A372" s="3" t="s">
        <v>468</v>
      </c>
      <c r="B372" s="4" t="n">
        <v>45104</v>
      </c>
      <c r="C372" s="3" t="s">
        <v>94</v>
      </c>
      <c r="D372" s="3" t="s">
        <v>48</v>
      </c>
      <c r="E372" s="3" t="s">
        <v>17</v>
      </c>
      <c r="F372" s="3" t="s">
        <v>54</v>
      </c>
      <c r="G372" s="5" t="s">
        <v>55</v>
      </c>
      <c r="H372" s="3" t="n">
        <v>9</v>
      </c>
      <c r="I372" s="6" t="n">
        <v>599</v>
      </c>
      <c r="J372" s="6" t="n">
        <v>450</v>
      </c>
      <c r="K372" s="3" t="n">
        <v>0</v>
      </c>
      <c r="L372" s="3" t="s">
        <v>20</v>
      </c>
      <c r="M372" s="6" t="n">
        <v>5391</v>
      </c>
      <c r="N372" s="6" t="n">
        <v>1341</v>
      </c>
    </row>
    <row r="373" customFormat="false" ht="15" hidden="false" customHeight="true" outlineLevel="0" collapsed="false">
      <c r="A373" s="7" t="s">
        <v>469</v>
      </c>
      <c r="B373" s="8" t="n">
        <v>45104</v>
      </c>
      <c r="C373" s="7" t="s">
        <v>28</v>
      </c>
      <c r="D373" s="7" t="s">
        <v>29</v>
      </c>
      <c r="E373" s="7" t="s">
        <v>39</v>
      </c>
      <c r="F373" s="7" t="s">
        <v>143</v>
      </c>
      <c r="G373" s="9" t="s">
        <v>144</v>
      </c>
      <c r="H373" s="7" t="n">
        <v>1</v>
      </c>
      <c r="I373" s="10" t="n">
        <v>345</v>
      </c>
      <c r="J373" s="10" t="n">
        <v>280</v>
      </c>
      <c r="K373" s="7" t="n">
        <v>4</v>
      </c>
      <c r="L373" s="7" t="s">
        <v>26</v>
      </c>
      <c r="M373" s="10" t="n">
        <v>345</v>
      </c>
      <c r="N373" s="10" t="n">
        <v>65</v>
      </c>
    </row>
    <row r="374" customFormat="false" ht="15" hidden="false" customHeight="true" outlineLevel="0" collapsed="false">
      <c r="A374" s="3" t="s">
        <v>470</v>
      </c>
      <c r="B374" s="4" t="n">
        <v>45107</v>
      </c>
      <c r="C374" s="3" t="s">
        <v>15</v>
      </c>
      <c r="D374" s="3" t="s">
        <v>16</v>
      </c>
      <c r="E374" s="3" t="s">
        <v>30</v>
      </c>
      <c r="F374" s="3" t="s">
        <v>31</v>
      </c>
      <c r="G374" s="5" t="s">
        <v>32</v>
      </c>
      <c r="H374" s="3" t="n">
        <v>2</v>
      </c>
      <c r="I374" s="6" t="n">
        <v>1818</v>
      </c>
      <c r="J374" s="6" t="n">
        <v>1200</v>
      </c>
      <c r="K374" s="3" t="n">
        <v>10</v>
      </c>
      <c r="L374" s="3" t="s">
        <v>26</v>
      </c>
      <c r="M374" s="6" t="n">
        <v>3636</v>
      </c>
      <c r="N374" s="6" t="n">
        <v>1236</v>
      </c>
    </row>
    <row r="375" customFormat="false" ht="15" hidden="false" customHeight="true" outlineLevel="0" collapsed="false">
      <c r="A375" s="7" t="s">
        <v>471</v>
      </c>
      <c r="B375" s="8" t="n">
        <v>45108</v>
      </c>
      <c r="C375" s="7" t="s">
        <v>43</v>
      </c>
      <c r="D375" s="7" t="s">
        <v>16</v>
      </c>
      <c r="E375" s="7" t="s">
        <v>39</v>
      </c>
      <c r="F375" s="7" t="s">
        <v>161</v>
      </c>
      <c r="G375" s="9" t="s">
        <v>162</v>
      </c>
      <c r="H375" s="7" t="n">
        <v>5</v>
      </c>
      <c r="I375" s="10" t="n">
        <v>401</v>
      </c>
      <c r="J375" s="10" t="n">
        <v>350</v>
      </c>
      <c r="K375" s="7" t="n">
        <v>44</v>
      </c>
      <c r="L375" s="7" t="s">
        <v>20</v>
      </c>
      <c r="M375" s="10" t="n">
        <v>2005</v>
      </c>
      <c r="N375" s="10" t="n">
        <v>255</v>
      </c>
    </row>
    <row r="376" customFormat="false" ht="15" hidden="false" customHeight="true" outlineLevel="0" collapsed="false">
      <c r="A376" s="3" t="s">
        <v>472</v>
      </c>
      <c r="B376" s="4" t="n">
        <v>45108</v>
      </c>
      <c r="C376" s="3" t="s">
        <v>136</v>
      </c>
      <c r="D376" s="3" t="s">
        <v>35</v>
      </c>
      <c r="E376" s="3" t="s">
        <v>62</v>
      </c>
      <c r="F376" s="3" t="s">
        <v>69</v>
      </c>
      <c r="G376" s="5" t="s">
        <v>70</v>
      </c>
      <c r="H376" s="3" t="n">
        <v>2</v>
      </c>
      <c r="I376" s="6" t="n">
        <v>71</v>
      </c>
      <c r="J376" s="6" t="n">
        <v>50</v>
      </c>
      <c r="K376" s="3" t="n">
        <v>48</v>
      </c>
      <c r="L376" s="3" t="s">
        <v>20</v>
      </c>
      <c r="M376" s="6" t="n">
        <v>142</v>
      </c>
      <c r="N376" s="6" t="n">
        <v>42</v>
      </c>
    </row>
    <row r="377" customFormat="false" ht="15" hidden="false" customHeight="true" outlineLevel="0" collapsed="false">
      <c r="A377" s="7" t="s">
        <v>473</v>
      </c>
      <c r="B377" s="8" t="n">
        <v>45112</v>
      </c>
      <c r="C377" s="7" t="s">
        <v>72</v>
      </c>
      <c r="D377" s="7" t="s">
        <v>35</v>
      </c>
      <c r="E377" s="7" t="s">
        <v>77</v>
      </c>
      <c r="F377" s="7" t="s">
        <v>129</v>
      </c>
      <c r="G377" s="9" t="s">
        <v>130</v>
      </c>
      <c r="H377" s="7" t="n">
        <v>7</v>
      </c>
      <c r="I377" s="10" t="n">
        <v>170</v>
      </c>
      <c r="J377" s="10" t="n">
        <v>120</v>
      </c>
      <c r="K377" s="7" t="n">
        <v>11</v>
      </c>
      <c r="L377" s="7" t="s">
        <v>20</v>
      </c>
      <c r="M377" s="10" t="n">
        <v>1190</v>
      </c>
      <c r="N377" s="10" t="n">
        <v>350</v>
      </c>
    </row>
    <row r="378" customFormat="false" ht="15" hidden="false" customHeight="true" outlineLevel="0" collapsed="false">
      <c r="A378" s="3" t="s">
        <v>474</v>
      </c>
      <c r="B378" s="4" t="n">
        <v>45112</v>
      </c>
      <c r="C378" s="3" t="s">
        <v>15</v>
      </c>
      <c r="D378" s="3" t="s">
        <v>16</v>
      </c>
      <c r="E378" s="3" t="s">
        <v>39</v>
      </c>
      <c r="F378" s="3" t="s">
        <v>40</v>
      </c>
      <c r="G378" s="5" t="s">
        <v>41</v>
      </c>
      <c r="H378" s="3" t="n">
        <v>2</v>
      </c>
      <c r="I378" s="6" t="n">
        <v>104</v>
      </c>
      <c r="J378" s="6" t="n">
        <v>90</v>
      </c>
      <c r="K378" s="3" t="n">
        <v>16</v>
      </c>
      <c r="L378" s="3" t="s">
        <v>20</v>
      </c>
      <c r="M378" s="6" t="n">
        <v>208</v>
      </c>
      <c r="N378" s="6" t="n">
        <v>28</v>
      </c>
    </row>
    <row r="379" customFormat="false" ht="15" hidden="false" customHeight="true" outlineLevel="0" collapsed="false">
      <c r="A379" s="7" t="s">
        <v>475</v>
      </c>
      <c r="B379" s="8" t="n">
        <v>45113</v>
      </c>
      <c r="C379" s="7" t="s">
        <v>22</v>
      </c>
      <c r="D379" s="7" t="s">
        <v>16</v>
      </c>
      <c r="E379" s="7" t="s">
        <v>39</v>
      </c>
      <c r="F379" s="7" t="s">
        <v>220</v>
      </c>
      <c r="G379" s="9" t="s">
        <v>221</v>
      </c>
      <c r="H379" s="7" t="n">
        <v>12</v>
      </c>
      <c r="I379" s="10" t="n">
        <v>216</v>
      </c>
      <c r="J379" s="10" t="n">
        <v>180</v>
      </c>
      <c r="K379" s="7" t="n">
        <v>19</v>
      </c>
      <c r="L379" s="7" t="s">
        <v>26</v>
      </c>
      <c r="M379" s="10" t="n">
        <v>2592</v>
      </c>
      <c r="N379" s="10" t="n">
        <v>432</v>
      </c>
    </row>
    <row r="380" customFormat="false" ht="15" hidden="false" customHeight="true" outlineLevel="0" collapsed="false">
      <c r="A380" s="3" t="s">
        <v>476</v>
      </c>
      <c r="B380" s="4" t="n">
        <v>45116</v>
      </c>
      <c r="C380" s="3" t="s">
        <v>72</v>
      </c>
      <c r="D380" s="3" t="s">
        <v>35</v>
      </c>
      <c r="E380" s="3" t="s">
        <v>23</v>
      </c>
      <c r="F380" s="3" t="s">
        <v>204</v>
      </c>
      <c r="G380" s="5" t="s">
        <v>205</v>
      </c>
      <c r="H380" s="3" t="n">
        <v>1</v>
      </c>
      <c r="I380" s="6" t="n">
        <v>2213</v>
      </c>
      <c r="J380" s="6" t="n">
        <v>1800</v>
      </c>
      <c r="K380" s="3" t="n">
        <v>28</v>
      </c>
      <c r="L380" s="3" t="s">
        <v>26</v>
      </c>
      <c r="M380" s="6" t="n">
        <v>2213</v>
      </c>
      <c r="N380" s="6" t="n">
        <v>413</v>
      </c>
    </row>
    <row r="381" customFormat="false" ht="15" hidden="false" customHeight="true" outlineLevel="0" collapsed="false">
      <c r="A381" s="7" t="s">
        <v>477</v>
      </c>
      <c r="B381" s="8" t="n">
        <v>45116</v>
      </c>
      <c r="C381" s="7" t="s">
        <v>72</v>
      </c>
      <c r="D381" s="7" t="s">
        <v>35</v>
      </c>
      <c r="E381" s="7" t="s">
        <v>30</v>
      </c>
      <c r="F381" s="7" t="s">
        <v>87</v>
      </c>
      <c r="G381" s="9" t="s">
        <v>88</v>
      </c>
      <c r="H381" s="7" t="n">
        <v>3</v>
      </c>
      <c r="I381" s="10" t="n">
        <v>1022</v>
      </c>
      <c r="J381" s="10" t="n">
        <v>700</v>
      </c>
      <c r="K381" s="7" t="n">
        <v>11</v>
      </c>
      <c r="L381" s="7" t="s">
        <v>26</v>
      </c>
      <c r="M381" s="10" t="n">
        <v>3066</v>
      </c>
      <c r="N381" s="10" t="n">
        <v>966</v>
      </c>
    </row>
    <row r="382" customFormat="false" ht="15" hidden="false" customHeight="true" outlineLevel="0" collapsed="false">
      <c r="A382" s="3" t="s">
        <v>478</v>
      </c>
      <c r="B382" s="4" t="n">
        <v>45117</v>
      </c>
      <c r="C382" s="3" t="s">
        <v>28</v>
      </c>
      <c r="D382" s="3" t="s">
        <v>29</v>
      </c>
      <c r="E382" s="3" t="s">
        <v>77</v>
      </c>
      <c r="F382" s="3" t="s">
        <v>78</v>
      </c>
      <c r="G382" s="5" t="s">
        <v>79</v>
      </c>
      <c r="H382" s="3" t="n">
        <v>5</v>
      </c>
      <c r="I382" s="6" t="n">
        <v>1199</v>
      </c>
      <c r="J382" s="6" t="n">
        <v>900</v>
      </c>
      <c r="K382" s="3" t="n">
        <v>9</v>
      </c>
      <c r="L382" s="3" t="s">
        <v>26</v>
      </c>
      <c r="M382" s="6" t="n">
        <v>5995</v>
      </c>
      <c r="N382" s="6" t="n">
        <v>1495</v>
      </c>
    </row>
    <row r="383" customFormat="false" ht="15" hidden="false" customHeight="true" outlineLevel="0" collapsed="false">
      <c r="A383" s="7" t="s">
        <v>479</v>
      </c>
      <c r="B383" s="8" t="n">
        <v>45117</v>
      </c>
      <c r="C383" s="7" t="s">
        <v>58</v>
      </c>
      <c r="D383" s="7" t="s">
        <v>48</v>
      </c>
      <c r="E383" s="7" t="s">
        <v>39</v>
      </c>
      <c r="F383" s="7" t="s">
        <v>40</v>
      </c>
      <c r="G383" s="9" t="s">
        <v>41</v>
      </c>
      <c r="H383" s="7" t="n">
        <v>9</v>
      </c>
      <c r="I383" s="10" t="n">
        <v>102</v>
      </c>
      <c r="J383" s="10" t="n">
        <v>90</v>
      </c>
      <c r="K383" s="7" t="n">
        <v>17</v>
      </c>
      <c r="L383" s="7" t="s">
        <v>20</v>
      </c>
      <c r="M383" s="10" t="n">
        <v>918</v>
      </c>
      <c r="N383" s="10" t="n">
        <v>108</v>
      </c>
    </row>
    <row r="384" customFormat="false" ht="15" hidden="false" customHeight="true" outlineLevel="0" collapsed="false">
      <c r="A384" s="3" t="s">
        <v>480</v>
      </c>
      <c r="B384" s="4" t="n">
        <v>45118</v>
      </c>
      <c r="C384" s="3" t="s">
        <v>43</v>
      </c>
      <c r="D384" s="3" t="s">
        <v>16</v>
      </c>
      <c r="E384" s="3" t="s">
        <v>39</v>
      </c>
      <c r="F384" s="3" t="s">
        <v>143</v>
      </c>
      <c r="G384" s="5" t="s">
        <v>144</v>
      </c>
      <c r="H384" s="3" t="n">
        <v>6</v>
      </c>
      <c r="I384" s="6" t="n">
        <v>343</v>
      </c>
      <c r="J384" s="6" t="n">
        <v>280</v>
      </c>
      <c r="K384" s="3" t="n">
        <v>16</v>
      </c>
      <c r="L384" s="3" t="s">
        <v>20</v>
      </c>
      <c r="M384" s="6" t="n">
        <v>2058</v>
      </c>
      <c r="N384" s="6" t="n">
        <v>378</v>
      </c>
    </row>
    <row r="385" customFormat="false" ht="15" hidden="false" customHeight="true" outlineLevel="0" collapsed="false">
      <c r="A385" s="7" t="s">
        <v>481</v>
      </c>
      <c r="B385" s="8" t="n">
        <v>45121</v>
      </c>
      <c r="C385" s="7" t="s">
        <v>136</v>
      </c>
      <c r="D385" s="7" t="s">
        <v>35</v>
      </c>
      <c r="E385" s="7" t="s">
        <v>30</v>
      </c>
      <c r="F385" s="7" t="s">
        <v>36</v>
      </c>
      <c r="G385" s="9" t="s">
        <v>37</v>
      </c>
      <c r="H385" s="7" t="n">
        <v>12</v>
      </c>
      <c r="I385" s="10" t="n">
        <v>670</v>
      </c>
      <c r="J385" s="10" t="n">
        <v>450</v>
      </c>
      <c r="K385" s="7" t="n">
        <v>0</v>
      </c>
      <c r="L385" s="7" t="s">
        <v>26</v>
      </c>
      <c r="M385" s="10" t="n">
        <v>8040</v>
      </c>
      <c r="N385" s="10" t="n">
        <v>2640</v>
      </c>
    </row>
    <row r="386" customFormat="false" ht="15" hidden="false" customHeight="true" outlineLevel="0" collapsed="false">
      <c r="A386" s="3" t="s">
        <v>482</v>
      </c>
      <c r="B386" s="4" t="n">
        <v>45122</v>
      </c>
      <c r="C386" s="3" t="s">
        <v>47</v>
      </c>
      <c r="D386" s="3" t="s">
        <v>48</v>
      </c>
      <c r="E386" s="3" t="s">
        <v>23</v>
      </c>
      <c r="F386" s="3" t="s">
        <v>49</v>
      </c>
      <c r="G386" s="5" t="s">
        <v>50</v>
      </c>
      <c r="H386" s="3" t="n">
        <v>2</v>
      </c>
      <c r="I386" s="6" t="n">
        <v>20968</v>
      </c>
      <c r="J386" s="6" t="n">
        <v>18000</v>
      </c>
      <c r="K386" s="3" t="n">
        <v>34</v>
      </c>
      <c r="L386" s="3" t="s">
        <v>26</v>
      </c>
      <c r="M386" s="6" t="n">
        <v>41936</v>
      </c>
      <c r="N386" s="6" t="n">
        <v>5936</v>
      </c>
    </row>
    <row r="387" customFormat="false" ht="15" hidden="false" customHeight="true" outlineLevel="0" collapsed="false">
      <c r="A387" s="7" t="s">
        <v>483</v>
      </c>
      <c r="B387" s="8" t="n">
        <v>45123</v>
      </c>
      <c r="C387" s="7" t="s">
        <v>22</v>
      </c>
      <c r="D387" s="7" t="s">
        <v>16</v>
      </c>
      <c r="E387" s="7" t="s">
        <v>39</v>
      </c>
      <c r="F387" s="7" t="s">
        <v>99</v>
      </c>
      <c r="G387" s="9" t="s">
        <v>100</v>
      </c>
      <c r="H387" s="7" t="n">
        <v>3</v>
      </c>
      <c r="I387" s="10" t="n">
        <v>250</v>
      </c>
      <c r="J387" s="10" t="n">
        <v>220</v>
      </c>
      <c r="K387" s="7" t="n">
        <v>45</v>
      </c>
      <c r="L387" s="7" t="s">
        <v>20</v>
      </c>
      <c r="M387" s="10" t="n">
        <v>750</v>
      </c>
      <c r="N387" s="10" t="n">
        <v>90</v>
      </c>
    </row>
    <row r="388" customFormat="false" ht="15" hidden="false" customHeight="true" outlineLevel="0" collapsed="false">
      <c r="A388" s="3" t="s">
        <v>484</v>
      </c>
      <c r="B388" s="4" t="n">
        <v>45125</v>
      </c>
      <c r="C388" s="3" t="s">
        <v>52</v>
      </c>
      <c r="D388" s="3" t="s">
        <v>29</v>
      </c>
      <c r="E388" s="3" t="s">
        <v>30</v>
      </c>
      <c r="F388" s="3" t="s">
        <v>118</v>
      </c>
      <c r="G388" s="5" t="s">
        <v>119</v>
      </c>
      <c r="H388" s="3" t="n">
        <v>8</v>
      </c>
      <c r="I388" s="6" t="n">
        <v>393</v>
      </c>
      <c r="J388" s="6" t="n">
        <v>280</v>
      </c>
      <c r="K388" s="3" t="n">
        <v>10</v>
      </c>
      <c r="L388" s="3" t="s">
        <v>26</v>
      </c>
      <c r="M388" s="6" t="n">
        <v>3144</v>
      </c>
      <c r="N388" s="6" t="n">
        <v>904</v>
      </c>
    </row>
    <row r="389" customFormat="false" ht="15" hidden="false" customHeight="true" outlineLevel="0" collapsed="false">
      <c r="A389" s="7" t="s">
        <v>485</v>
      </c>
      <c r="B389" s="8" t="n">
        <v>45126</v>
      </c>
      <c r="C389" s="7" t="s">
        <v>43</v>
      </c>
      <c r="D389" s="7" t="s">
        <v>16</v>
      </c>
      <c r="E389" s="7" t="s">
        <v>30</v>
      </c>
      <c r="F389" s="7" t="s">
        <v>118</v>
      </c>
      <c r="G389" s="9" t="s">
        <v>119</v>
      </c>
      <c r="H389" s="7" t="n">
        <v>9</v>
      </c>
      <c r="I389" s="10" t="n">
        <v>387</v>
      </c>
      <c r="J389" s="10" t="n">
        <v>280</v>
      </c>
      <c r="K389" s="7" t="n">
        <v>29</v>
      </c>
      <c r="L389" s="7" t="s">
        <v>26</v>
      </c>
      <c r="M389" s="10" t="n">
        <v>3483</v>
      </c>
      <c r="N389" s="10" t="n">
        <v>963</v>
      </c>
    </row>
    <row r="390" customFormat="false" ht="15" hidden="false" customHeight="true" outlineLevel="0" collapsed="false">
      <c r="A390" s="3" t="s">
        <v>486</v>
      </c>
      <c r="B390" s="4" t="n">
        <v>45127</v>
      </c>
      <c r="C390" s="3" t="s">
        <v>15</v>
      </c>
      <c r="D390" s="3" t="s">
        <v>16</v>
      </c>
      <c r="E390" s="3" t="s">
        <v>77</v>
      </c>
      <c r="F390" s="3" t="s">
        <v>129</v>
      </c>
      <c r="G390" s="5" t="s">
        <v>130</v>
      </c>
      <c r="H390" s="3" t="n">
        <v>12</v>
      </c>
      <c r="I390" s="6" t="n">
        <v>171</v>
      </c>
      <c r="J390" s="6" t="n">
        <v>120</v>
      </c>
      <c r="K390" s="3" t="n">
        <v>25</v>
      </c>
      <c r="L390" s="3" t="s">
        <v>26</v>
      </c>
      <c r="M390" s="6" t="n">
        <v>2052</v>
      </c>
      <c r="N390" s="6" t="n">
        <v>612</v>
      </c>
    </row>
    <row r="391" customFormat="false" ht="15" hidden="false" customHeight="true" outlineLevel="0" collapsed="false">
      <c r="A391" s="7" t="s">
        <v>487</v>
      </c>
      <c r="B391" s="8" t="n">
        <v>45128</v>
      </c>
      <c r="C391" s="7" t="s">
        <v>136</v>
      </c>
      <c r="D391" s="7" t="s">
        <v>35</v>
      </c>
      <c r="E391" s="7" t="s">
        <v>17</v>
      </c>
      <c r="F391" s="7" t="s">
        <v>66</v>
      </c>
      <c r="G391" s="9" t="s">
        <v>67</v>
      </c>
      <c r="H391" s="7" t="n">
        <v>1</v>
      </c>
      <c r="I391" s="10" t="n">
        <v>468</v>
      </c>
      <c r="J391" s="10" t="n">
        <v>350</v>
      </c>
      <c r="K391" s="7" t="n">
        <v>5</v>
      </c>
      <c r="L391" s="7" t="s">
        <v>26</v>
      </c>
      <c r="M391" s="10" t="n">
        <v>468</v>
      </c>
      <c r="N391" s="10" t="n">
        <v>118</v>
      </c>
    </row>
    <row r="392" customFormat="false" ht="15" hidden="false" customHeight="true" outlineLevel="0" collapsed="false">
      <c r="A392" s="3" t="s">
        <v>488</v>
      </c>
      <c r="B392" s="4" t="n">
        <v>45128</v>
      </c>
      <c r="C392" s="3" t="s">
        <v>136</v>
      </c>
      <c r="D392" s="3" t="s">
        <v>35</v>
      </c>
      <c r="E392" s="3" t="s">
        <v>39</v>
      </c>
      <c r="F392" s="3" t="s">
        <v>220</v>
      </c>
      <c r="G392" s="5" t="s">
        <v>221</v>
      </c>
      <c r="H392" s="3" t="n">
        <v>14</v>
      </c>
      <c r="I392" s="6" t="n">
        <v>203</v>
      </c>
      <c r="J392" s="6" t="n">
        <v>180</v>
      </c>
      <c r="K392" s="3" t="n">
        <v>0</v>
      </c>
      <c r="L392" s="3" t="s">
        <v>20</v>
      </c>
      <c r="M392" s="6" t="n">
        <v>2842</v>
      </c>
      <c r="N392" s="6" t="n">
        <v>322</v>
      </c>
    </row>
    <row r="393" customFormat="false" ht="15" hidden="false" customHeight="true" outlineLevel="0" collapsed="false">
      <c r="A393" s="7" t="s">
        <v>489</v>
      </c>
      <c r="B393" s="8" t="n">
        <v>45128</v>
      </c>
      <c r="C393" s="7" t="s">
        <v>28</v>
      </c>
      <c r="D393" s="7" t="s">
        <v>29</v>
      </c>
      <c r="E393" s="7" t="s">
        <v>23</v>
      </c>
      <c r="F393" s="7" t="s">
        <v>24</v>
      </c>
      <c r="G393" s="9" t="s">
        <v>25</v>
      </c>
      <c r="H393" s="7" t="n">
        <v>8</v>
      </c>
      <c r="I393" s="10" t="n">
        <v>409</v>
      </c>
      <c r="J393" s="10" t="n">
        <v>350</v>
      </c>
      <c r="K393" s="7" t="n">
        <v>25</v>
      </c>
      <c r="L393" s="7" t="s">
        <v>26</v>
      </c>
      <c r="M393" s="10" t="n">
        <v>3272</v>
      </c>
      <c r="N393" s="10" t="n">
        <v>472</v>
      </c>
    </row>
    <row r="394" customFormat="false" ht="15" hidden="false" customHeight="true" outlineLevel="0" collapsed="false">
      <c r="A394" s="3" t="s">
        <v>490</v>
      </c>
      <c r="B394" s="4" t="n">
        <v>45132</v>
      </c>
      <c r="C394" s="3" t="s">
        <v>34</v>
      </c>
      <c r="D394" s="3" t="s">
        <v>35</v>
      </c>
      <c r="E394" s="3" t="s">
        <v>17</v>
      </c>
      <c r="F394" s="3" t="s">
        <v>59</v>
      </c>
      <c r="G394" s="5" t="s">
        <v>60</v>
      </c>
      <c r="H394" s="3" t="n">
        <v>14</v>
      </c>
      <c r="I394" s="6" t="n">
        <v>411</v>
      </c>
      <c r="J394" s="6" t="n">
        <v>280</v>
      </c>
      <c r="K394" s="3" t="n">
        <v>45</v>
      </c>
      <c r="L394" s="3" t="s">
        <v>26</v>
      </c>
      <c r="M394" s="6" t="n">
        <v>5754</v>
      </c>
      <c r="N394" s="6" t="n">
        <v>1834</v>
      </c>
    </row>
    <row r="395" customFormat="false" ht="15" hidden="false" customHeight="true" outlineLevel="0" collapsed="false">
      <c r="A395" s="7" t="s">
        <v>491</v>
      </c>
      <c r="B395" s="8" t="n">
        <v>45136</v>
      </c>
      <c r="C395" s="7" t="s">
        <v>111</v>
      </c>
      <c r="D395" s="7" t="s">
        <v>29</v>
      </c>
      <c r="E395" s="7" t="s">
        <v>62</v>
      </c>
      <c r="F395" s="7" t="s">
        <v>103</v>
      </c>
      <c r="G395" s="9" t="s">
        <v>104</v>
      </c>
      <c r="H395" s="7" t="n">
        <v>14</v>
      </c>
      <c r="I395" s="10" t="n">
        <v>127</v>
      </c>
      <c r="J395" s="10" t="n">
        <v>90</v>
      </c>
      <c r="K395" s="7" t="n">
        <v>14</v>
      </c>
      <c r="L395" s="7" t="s">
        <v>26</v>
      </c>
      <c r="M395" s="10" t="n">
        <v>1778</v>
      </c>
      <c r="N395" s="10" t="n">
        <v>518</v>
      </c>
    </row>
    <row r="396" customFormat="false" ht="15" hidden="false" customHeight="true" outlineLevel="0" collapsed="false">
      <c r="A396" s="3" t="s">
        <v>492</v>
      </c>
      <c r="B396" s="4" t="n">
        <v>45137</v>
      </c>
      <c r="C396" s="3" t="s">
        <v>52</v>
      </c>
      <c r="D396" s="3" t="s">
        <v>29</v>
      </c>
      <c r="E396" s="3" t="s">
        <v>30</v>
      </c>
      <c r="F396" s="3" t="s">
        <v>126</v>
      </c>
      <c r="G396" s="5" t="s">
        <v>127</v>
      </c>
      <c r="H396" s="3" t="n">
        <v>12</v>
      </c>
      <c r="I396" s="6" t="n">
        <v>568</v>
      </c>
      <c r="J396" s="6" t="n">
        <v>400</v>
      </c>
      <c r="K396" s="3" t="n">
        <v>35</v>
      </c>
      <c r="L396" s="3" t="s">
        <v>26</v>
      </c>
      <c r="M396" s="6" t="n">
        <v>6816</v>
      </c>
      <c r="N396" s="6" t="n">
        <v>2016</v>
      </c>
    </row>
    <row r="397" customFormat="false" ht="15" hidden="false" customHeight="true" outlineLevel="0" collapsed="false">
      <c r="A397" s="7" t="s">
        <v>493</v>
      </c>
      <c r="B397" s="8" t="n">
        <v>45138</v>
      </c>
      <c r="C397" s="7" t="s">
        <v>22</v>
      </c>
      <c r="D397" s="7" t="s">
        <v>16</v>
      </c>
      <c r="E397" s="7" t="s">
        <v>17</v>
      </c>
      <c r="F397" s="7" t="s">
        <v>44</v>
      </c>
      <c r="G397" s="9" t="s">
        <v>45</v>
      </c>
      <c r="H397" s="7" t="n">
        <v>10</v>
      </c>
      <c r="I397" s="10" t="n">
        <v>338</v>
      </c>
      <c r="J397" s="10" t="n">
        <v>250</v>
      </c>
      <c r="K397" s="7" t="n">
        <v>12</v>
      </c>
      <c r="L397" s="7" t="s">
        <v>26</v>
      </c>
      <c r="M397" s="10" t="n">
        <v>3380</v>
      </c>
      <c r="N397" s="10" t="n">
        <v>880</v>
      </c>
    </row>
    <row r="398" customFormat="false" ht="15" hidden="false" customHeight="true" outlineLevel="0" collapsed="false">
      <c r="A398" s="3" t="s">
        <v>494</v>
      </c>
      <c r="B398" s="4" t="n">
        <v>45139</v>
      </c>
      <c r="C398" s="3" t="s">
        <v>94</v>
      </c>
      <c r="D398" s="3" t="s">
        <v>48</v>
      </c>
      <c r="E398" s="3" t="s">
        <v>30</v>
      </c>
      <c r="F398" s="3" t="s">
        <v>87</v>
      </c>
      <c r="G398" s="5" t="s">
        <v>88</v>
      </c>
      <c r="H398" s="3" t="n">
        <v>14</v>
      </c>
      <c r="I398" s="6" t="n">
        <v>1002</v>
      </c>
      <c r="J398" s="6" t="n">
        <v>700</v>
      </c>
      <c r="K398" s="3" t="n">
        <v>4</v>
      </c>
      <c r="L398" s="3" t="s">
        <v>26</v>
      </c>
      <c r="M398" s="6" t="n">
        <v>14028</v>
      </c>
      <c r="N398" s="6" t="n">
        <v>4228</v>
      </c>
    </row>
    <row r="399" customFormat="false" ht="15" hidden="false" customHeight="true" outlineLevel="0" collapsed="false">
      <c r="A399" s="7" t="s">
        <v>495</v>
      </c>
      <c r="B399" s="8" t="n">
        <v>45142</v>
      </c>
      <c r="C399" s="7" t="s">
        <v>58</v>
      </c>
      <c r="D399" s="7" t="s">
        <v>48</v>
      </c>
      <c r="E399" s="7" t="s">
        <v>62</v>
      </c>
      <c r="F399" s="7" t="s">
        <v>96</v>
      </c>
      <c r="G399" s="9" t="s">
        <v>97</v>
      </c>
      <c r="H399" s="7" t="n">
        <v>9</v>
      </c>
      <c r="I399" s="10" t="n">
        <v>108</v>
      </c>
      <c r="J399" s="10" t="n">
        <v>80</v>
      </c>
      <c r="K399" s="7" t="n">
        <v>9</v>
      </c>
      <c r="L399" s="7" t="s">
        <v>26</v>
      </c>
      <c r="M399" s="10" t="n">
        <v>972</v>
      </c>
      <c r="N399" s="10" t="n">
        <v>252</v>
      </c>
    </row>
    <row r="400" customFormat="false" ht="15" hidden="false" customHeight="true" outlineLevel="0" collapsed="false">
      <c r="A400" s="3" t="s">
        <v>496</v>
      </c>
      <c r="B400" s="4" t="n">
        <v>45145</v>
      </c>
      <c r="C400" s="3" t="s">
        <v>43</v>
      </c>
      <c r="D400" s="3" t="s">
        <v>16</v>
      </c>
      <c r="E400" s="3" t="s">
        <v>23</v>
      </c>
      <c r="F400" s="3" t="s">
        <v>90</v>
      </c>
      <c r="G400" s="5" t="s">
        <v>91</v>
      </c>
      <c r="H400" s="3" t="n">
        <v>14</v>
      </c>
      <c r="I400" s="6" t="n">
        <v>700</v>
      </c>
      <c r="J400" s="6" t="n">
        <v>600</v>
      </c>
      <c r="K400" s="3" t="n">
        <v>2</v>
      </c>
      <c r="L400" s="3" t="s">
        <v>26</v>
      </c>
      <c r="M400" s="6" t="n">
        <v>9800</v>
      </c>
      <c r="N400" s="6" t="n">
        <v>1400</v>
      </c>
    </row>
    <row r="401" customFormat="false" ht="15" hidden="false" customHeight="true" outlineLevel="0" collapsed="false">
      <c r="A401" s="7" t="s">
        <v>497</v>
      </c>
      <c r="B401" s="8" t="n">
        <v>45146</v>
      </c>
      <c r="C401" s="7" t="s">
        <v>28</v>
      </c>
      <c r="D401" s="7" t="s">
        <v>29</v>
      </c>
      <c r="E401" s="7" t="s">
        <v>77</v>
      </c>
      <c r="F401" s="7" t="s">
        <v>180</v>
      </c>
      <c r="G401" s="9" t="s">
        <v>181</v>
      </c>
      <c r="H401" s="7" t="n">
        <v>13</v>
      </c>
      <c r="I401" s="10" t="n">
        <v>254</v>
      </c>
      <c r="J401" s="10" t="n">
        <v>180</v>
      </c>
      <c r="K401" s="7" t="n">
        <v>41</v>
      </c>
      <c r="L401" s="7" t="s">
        <v>20</v>
      </c>
      <c r="M401" s="10" t="n">
        <v>3302</v>
      </c>
      <c r="N401" s="10" t="n">
        <v>962</v>
      </c>
    </row>
    <row r="402" customFormat="false" ht="15" hidden="false" customHeight="true" outlineLevel="0" collapsed="false">
      <c r="A402" s="3" t="s">
        <v>498</v>
      </c>
      <c r="B402" s="4" t="n">
        <v>45147</v>
      </c>
      <c r="C402" s="3" t="s">
        <v>72</v>
      </c>
      <c r="D402" s="3" t="s">
        <v>35</v>
      </c>
      <c r="E402" s="3" t="s">
        <v>17</v>
      </c>
      <c r="F402" s="3" t="s">
        <v>66</v>
      </c>
      <c r="G402" s="5" t="s">
        <v>67</v>
      </c>
      <c r="H402" s="3" t="n">
        <v>7</v>
      </c>
      <c r="I402" s="6" t="n">
        <v>475</v>
      </c>
      <c r="J402" s="6" t="n">
        <v>350</v>
      </c>
      <c r="K402" s="3" t="n">
        <v>12</v>
      </c>
      <c r="L402" s="3" t="s">
        <v>26</v>
      </c>
      <c r="M402" s="6" t="n">
        <v>3325</v>
      </c>
      <c r="N402" s="6" t="n">
        <v>875</v>
      </c>
    </row>
    <row r="403" customFormat="false" ht="15" hidden="false" customHeight="true" outlineLevel="0" collapsed="false">
      <c r="A403" s="7" t="s">
        <v>499</v>
      </c>
      <c r="B403" s="8" t="n">
        <v>45147</v>
      </c>
      <c r="C403" s="7" t="s">
        <v>94</v>
      </c>
      <c r="D403" s="7" t="s">
        <v>48</v>
      </c>
      <c r="E403" s="7" t="s">
        <v>23</v>
      </c>
      <c r="F403" s="7" t="s">
        <v>49</v>
      </c>
      <c r="G403" s="9" t="s">
        <v>50</v>
      </c>
      <c r="H403" s="7" t="n">
        <v>11</v>
      </c>
      <c r="I403" s="10" t="n">
        <v>21040</v>
      </c>
      <c r="J403" s="10" t="n">
        <v>18000</v>
      </c>
      <c r="K403" s="7" t="n">
        <v>22</v>
      </c>
      <c r="L403" s="7" t="s">
        <v>26</v>
      </c>
      <c r="M403" s="10" t="n">
        <v>231440</v>
      </c>
      <c r="N403" s="10" t="n">
        <v>33440</v>
      </c>
    </row>
    <row r="404" customFormat="false" ht="15" hidden="false" customHeight="true" outlineLevel="0" collapsed="false">
      <c r="A404" s="3" t="s">
        <v>500</v>
      </c>
      <c r="B404" s="4" t="n">
        <v>45148</v>
      </c>
      <c r="C404" s="3" t="s">
        <v>28</v>
      </c>
      <c r="D404" s="3" t="s">
        <v>29</v>
      </c>
      <c r="E404" s="3" t="s">
        <v>30</v>
      </c>
      <c r="F404" s="3" t="s">
        <v>31</v>
      </c>
      <c r="G404" s="5" t="s">
        <v>32</v>
      </c>
      <c r="H404" s="3" t="n">
        <v>7</v>
      </c>
      <c r="I404" s="6" t="n">
        <v>1765</v>
      </c>
      <c r="J404" s="6" t="n">
        <v>1200</v>
      </c>
      <c r="K404" s="3" t="n">
        <v>11</v>
      </c>
      <c r="L404" s="3" t="s">
        <v>26</v>
      </c>
      <c r="M404" s="6" t="n">
        <v>12355</v>
      </c>
      <c r="N404" s="6" t="n">
        <v>3955</v>
      </c>
    </row>
    <row r="405" customFormat="false" ht="15" hidden="false" customHeight="true" outlineLevel="0" collapsed="false">
      <c r="A405" s="7" t="s">
        <v>501</v>
      </c>
      <c r="B405" s="8" t="n">
        <v>45148</v>
      </c>
      <c r="C405" s="7" t="s">
        <v>15</v>
      </c>
      <c r="D405" s="7" t="s">
        <v>16</v>
      </c>
      <c r="E405" s="7" t="s">
        <v>30</v>
      </c>
      <c r="F405" s="7" t="s">
        <v>87</v>
      </c>
      <c r="G405" s="9" t="s">
        <v>88</v>
      </c>
      <c r="H405" s="7" t="n">
        <v>13</v>
      </c>
      <c r="I405" s="10" t="n">
        <v>1025</v>
      </c>
      <c r="J405" s="10" t="n">
        <v>700</v>
      </c>
      <c r="K405" s="7" t="n">
        <v>48</v>
      </c>
      <c r="L405" s="7" t="s">
        <v>20</v>
      </c>
      <c r="M405" s="10" t="n">
        <v>13325</v>
      </c>
      <c r="N405" s="10" t="n">
        <v>4225</v>
      </c>
    </row>
    <row r="406" customFormat="false" ht="15" hidden="false" customHeight="true" outlineLevel="0" collapsed="false">
      <c r="A406" s="3" t="s">
        <v>502</v>
      </c>
      <c r="B406" s="4" t="n">
        <v>45149</v>
      </c>
      <c r="C406" s="3" t="s">
        <v>22</v>
      </c>
      <c r="D406" s="3" t="s">
        <v>16</v>
      </c>
      <c r="E406" s="3" t="s">
        <v>17</v>
      </c>
      <c r="F406" s="3" t="s">
        <v>18</v>
      </c>
      <c r="G406" s="5" t="s">
        <v>19</v>
      </c>
      <c r="H406" s="3" t="n">
        <v>8</v>
      </c>
      <c r="I406" s="6" t="n">
        <v>1252</v>
      </c>
      <c r="J406" s="6" t="n">
        <v>900</v>
      </c>
      <c r="K406" s="3" t="n">
        <v>26</v>
      </c>
      <c r="L406" s="3" t="s">
        <v>26</v>
      </c>
      <c r="M406" s="6" t="n">
        <v>10016</v>
      </c>
      <c r="N406" s="6" t="n">
        <v>2816</v>
      </c>
    </row>
    <row r="407" customFormat="false" ht="15" hidden="false" customHeight="true" outlineLevel="0" collapsed="false">
      <c r="A407" s="7" t="s">
        <v>503</v>
      </c>
      <c r="B407" s="8" t="n">
        <v>45151</v>
      </c>
      <c r="C407" s="7" t="s">
        <v>111</v>
      </c>
      <c r="D407" s="7" t="s">
        <v>29</v>
      </c>
      <c r="E407" s="7" t="s">
        <v>77</v>
      </c>
      <c r="F407" s="7" t="s">
        <v>180</v>
      </c>
      <c r="G407" s="9" t="s">
        <v>181</v>
      </c>
      <c r="H407" s="7" t="n">
        <v>1</v>
      </c>
      <c r="I407" s="10" t="n">
        <v>251</v>
      </c>
      <c r="J407" s="10" t="n">
        <v>180</v>
      </c>
      <c r="K407" s="7" t="n">
        <v>20</v>
      </c>
      <c r="L407" s="7" t="s">
        <v>20</v>
      </c>
      <c r="M407" s="10" t="n">
        <v>251</v>
      </c>
      <c r="N407" s="10" t="n">
        <v>71</v>
      </c>
    </row>
    <row r="408" customFormat="false" ht="15" hidden="false" customHeight="true" outlineLevel="0" collapsed="false">
      <c r="A408" s="3" t="s">
        <v>504</v>
      </c>
      <c r="B408" s="4" t="n">
        <v>45153</v>
      </c>
      <c r="C408" s="3" t="s">
        <v>15</v>
      </c>
      <c r="D408" s="3" t="s">
        <v>16</v>
      </c>
      <c r="E408" s="3" t="s">
        <v>39</v>
      </c>
      <c r="F408" s="3" t="s">
        <v>220</v>
      </c>
      <c r="G408" s="5" t="s">
        <v>221</v>
      </c>
      <c r="H408" s="3" t="n">
        <v>7</v>
      </c>
      <c r="I408" s="6" t="n">
        <v>220</v>
      </c>
      <c r="J408" s="6" t="n">
        <v>180</v>
      </c>
      <c r="K408" s="3" t="n">
        <v>16</v>
      </c>
      <c r="L408" s="3" t="s">
        <v>20</v>
      </c>
      <c r="M408" s="6" t="n">
        <v>1540</v>
      </c>
      <c r="N408" s="6" t="n">
        <v>280</v>
      </c>
    </row>
    <row r="409" customFormat="false" ht="15" hidden="false" customHeight="true" outlineLevel="0" collapsed="false">
      <c r="A409" s="7" t="s">
        <v>505</v>
      </c>
      <c r="B409" s="8" t="n">
        <v>45159</v>
      </c>
      <c r="C409" s="7" t="s">
        <v>72</v>
      </c>
      <c r="D409" s="7" t="s">
        <v>35</v>
      </c>
      <c r="E409" s="7" t="s">
        <v>62</v>
      </c>
      <c r="F409" s="7" t="s">
        <v>63</v>
      </c>
      <c r="G409" s="9" t="s">
        <v>64</v>
      </c>
      <c r="H409" s="7" t="n">
        <v>2</v>
      </c>
      <c r="I409" s="10" t="n">
        <v>81</v>
      </c>
      <c r="J409" s="10" t="n">
        <v>60</v>
      </c>
      <c r="K409" s="7" t="n">
        <v>9</v>
      </c>
      <c r="L409" s="7" t="s">
        <v>20</v>
      </c>
      <c r="M409" s="10" t="n">
        <v>162</v>
      </c>
      <c r="N409" s="10" t="n">
        <v>42</v>
      </c>
    </row>
    <row r="410" customFormat="false" ht="15" hidden="false" customHeight="true" outlineLevel="0" collapsed="false">
      <c r="A410" s="3" t="s">
        <v>506</v>
      </c>
      <c r="B410" s="4" t="n">
        <v>45160</v>
      </c>
      <c r="C410" s="3" t="s">
        <v>47</v>
      </c>
      <c r="D410" s="3" t="s">
        <v>48</v>
      </c>
      <c r="E410" s="3" t="s">
        <v>17</v>
      </c>
      <c r="F410" s="3" t="s">
        <v>44</v>
      </c>
      <c r="G410" s="5" t="s">
        <v>45</v>
      </c>
      <c r="H410" s="3" t="n">
        <v>4</v>
      </c>
      <c r="I410" s="6" t="n">
        <v>342</v>
      </c>
      <c r="J410" s="6" t="n">
        <v>250</v>
      </c>
      <c r="K410" s="3" t="n">
        <v>40</v>
      </c>
      <c r="L410" s="3" t="s">
        <v>26</v>
      </c>
      <c r="M410" s="6" t="n">
        <v>1368</v>
      </c>
      <c r="N410" s="6" t="n">
        <v>368</v>
      </c>
    </row>
    <row r="411" customFormat="false" ht="15" hidden="false" customHeight="true" outlineLevel="0" collapsed="false">
      <c r="A411" s="7" t="s">
        <v>507</v>
      </c>
      <c r="B411" s="8" t="n">
        <v>45160</v>
      </c>
      <c r="C411" s="7" t="s">
        <v>28</v>
      </c>
      <c r="D411" s="7" t="s">
        <v>29</v>
      </c>
      <c r="E411" s="7" t="s">
        <v>17</v>
      </c>
      <c r="F411" s="7" t="s">
        <v>54</v>
      </c>
      <c r="G411" s="9" t="s">
        <v>55</v>
      </c>
      <c r="H411" s="7" t="n">
        <v>14</v>
      </c>
      <c r="I411" s="10" t="n">
        <v>602</v>
      </c>
      <c r="J411" s="10" t="n">
        <v>450</v>
      </c>
      <c r="K411" s="7" t="n">
        <v>30</v>
      </c>
      <c r="L411" s="7" t="s">
        <v>20</v>
      </c>
      <c r="M411" s="10" t="n">
        <v>8428</v>
      </c>
      <c r="N411" s="10" t="n">
        <v>2128</v>
      </c>
    </row>
    <row r="412" customFormat="false" ht="15" hidden="false" customHeight="true" outlineLevel="0" collapsed="false">
      <c r="A412" s="3" t="s">
        <v>508</v>
      </c>
      <c r="B412" s="4" t="n">
        <v>45162</v>
      </c>
      <c r="C412" s="3" t="s">
        <v>43</v>
      </c>
      <c r="D412" s="3" t="s">
        <v>16</v>
      </c>
      <c r="E412" s="3" t="s">
        <v>39</v>
      </c>
      <c r="F412" s="3" t="s">
        <v>40</v>
      </c>
      <c r="G412" s="5" t="s">
        <v>41</v>
      </c>
      <c r="H412" s="3" t="n">
        <v>14</v>
      </c>
      <c r="I412" s="6" t="n">
        <v>111</v>
      </c>
      <c r="J412" s="6" t="n">
        <v>90</v>
      </c>
      <c r="K412" s="3" t="n">
        <v>0</v>
      </c>
      <c r="L412" s="3" t="s">
        <v>20</v>
      </c>
      <c r="M412" s="6" t="n">
        <v>1554</v>
      </c>
      <c r="N412" s="6" t="n">
        <v>294</v>
      </c>
    </row>
    <row r="413" customFormat="false" ht="15" hidden="false" customHeight="true" outlineLevel="0" collapsed="false">
      <c r="A413" s="7" t="s">
        <v>509</v>
      </c>
      <c r="B413" s="8" t="n">
        <v>45163</v>
      </c>
      <c r="C413" s="7" t="s">
        <v>72</v>
      </c>
      <c r="D413" s="7" t="s">
        <v>35</v>
      </c>
      <c r="E413" s="7" t="s">
        <v>62</v>
      </c>
      <c r="F413" s="7" t="s">
        <v>103</v>
      </c>
      <c r="G413" s="9" t="s">
        <v>104</v>
      </c>
      <c r="H413" s="7" t="n">
        <v>3</v>
      </c>
      <c r="I413" s="10" t="n">
        <v>123</v>
      </c>
      <c r="J413" s="10" t="n">
        <v>90</v>
      </c>
      <c r="K413" s="7" t="n">
        <v>7</v>
      </c>
      <c r="L413" s="7" t="s">
        <v>26</v>
      </c>
      <c r="M413" s="10" t="n">
        <v>369</v>
      </c>
      <c r="N413" s="10" t="n">
        <v>99</v>
      </c>
    </row>
    <row r="414" customFormat="false" ht="15" hidden="false" customHeight="true" outlineLevel="0" collapsed="false">
      <c r="A414" s="3" t="s">
        <v>510</v>
      </c>
      <c r="B414" s="4" t="n">
        <v>45164</v>
      </c>
      <c r="C414" s="3" t="s">
        <v>72</v>
      </c>
      <c r="D414" s="3" t="s">
        <v>35</v>
      </c>
      <c r="E414" s="3" t="s">
        <v>39</v>
      </c>
      <c r="F414" s="3" t="s">
        <v>143</v>
      </c>
      <c r="G414" s="5" t="s">
        <v>144</v>
      </c>
      <c r="H414" s="3" t="n">
        <v>2</v>
      </c>
      <c r="I414" s="6" t="n">
        <v>328</v>
      </c>
      <c r="J414" s="6" t="n">
        <v>280</v>
      </c>
      <c r="K414" s="3" t="n">
        <v>19</v>
      </c>
      <c r="L414" s="3" t="s">
        <v>20</v>
      </c>
      <c r="M414" s="6" t="n">
        <v>656</v>
      </c>
      <c r="N414" s="6" t="n">
        <v>96</v>
      </c>
    </row>
    <row r="415" customFormat="false" ht="15" hidden="false" customHeight="true" outlineLevel="0" collapsed="false">
      <c r="A415" s="7" t="s">
        <v>511</v>
      </c>
      <c r="B415" s="8" t="n">
        <v>45164</v>
      </c>
      <c r="C415" s="7" t="s">
        <v>52</v>
      </c>
      <c r="D415" s="7" t="s">
        <v>29</v>
      </c>
      <c r="E415" s="7" t="s">
        <v>30</v>
      </c>
      <c r="F415" s="7" t="s">
        <v>87</v>
      </c>
      <c r="G415" s="9" t="s">
        <v>88</v>
      </c>
      <c r="H415" s="7" t="n">
        <v>7</v>
      </c>
      <c r="I415" s="10" t="n">
        <v>975</v>
      </c>
      <c r="J415" s="10" t="n">
        <v>700</v>
      </c>
      <c r="K415" s="7" t="n">
        <v>46</v>
      </c>
      <c r="L415" s="7" t="s">
        <v>26</v>
      </c>
      <c r="M415" s="10" t="n">
        <v>6825</v>
      </c>
      <c r="N415" s="10" t="n">
        <v>1925</v>
      </c>
    </row>
    <row r="416" customFormat="false" ht="15" hidden="false" customHeight="true" outlineLevel="0" collapsed="false">
      <c r="A416" s="3" t="s">
        <v>512</v>
      </c>
      <c r="B416" s="4" t="n">
        <v>45165</v>
      </c>
      <c r="C416" s="3" t="s">
        <v>43</v>
      </c>
      <c r="D416" s="3" t="s">
        <v>16</v>
      </c>
      <c r="E416" s="3" t="s">
        <v>77</v>
      </c>
      <c r="F416" s="3" t="s">
        <v>129</v>
      </c>
      <c r="G416" s="5" t="s">
        <v>130</v>
      </c>
      <c r="H416" s="3" t="n">
        <v>15</v>
      </c>
      <c r="I416" s="6" t="n">
        <v>169</v>
      </c>
      <c r="J416" s="6" t="n">
        <v>120</v>
      </c>
      <c r="K416" s="3" t="n">
        <v>28</v>
      </c>
      <c r="L416" s="3" t="s">
        <v>26</v>
      </c>
      <c r="M416" s="6" t="n">
        <v>2535</v>
      </c>
      <c r="N416" s="6" t="n">
        <v>735</v>
      </c>
    </row>
    <row r="417" customFormat="false" ht="15" hidden="false" customHeight="true" outlineLevel="0" collapsed="false">
      <c r="A417" s="7" t="s">
        <v>513</v>
      </c>
      <c r="B417" s="8" t="n">
        <v>45166</v>
      </c>
      <c r="C417" s="7" t="s">
        <v>43</v>
      </c>
      <c r="D417" s="7" t="s">
        <v>16</v>
      </c>
      <c r="E417" s="7" t="s">
        <v>23</v>
      </c>
      <c r="F417" s="7" t="s">
        <v>204</v>
      </c>
      <c r="G417" s="9" t="s">
        <v>205</v>
      </c>
      <c r="H417" s="7" t="n">
        <v>1</v>
      </c>
      <c r="I417" s="10" t="n">
        <v>2239</v>
      </c>
      <c r="J417" s="10" t="n">
        <v>1800</v>
      </c>
      <c r="K417" s="7" t="n">
        <v>12</v>
      </c>
      <c r="L417" s="7" t="s">
        <v>26</v>
      </c>
      <c r="M417" s="10" t="n">
        <v>2239</v>
      </c>
      <c r="N417" s="10" t="n">
        <v>439</v>
      </c>
    </row>
    <row r="418" customFormat="false" ht="15" hidden="false" customHeight="true" outlineLevel="0" collapsed="false">
      <c r="A418" s="3" t="s">
        <v>514</v>
      </c>
      <c r="B418" s="4" t="n">
        <v>45170</v>
      </c>
      <c r="C418" s="3" t="s">
        <v>136</v>
      </c>
      <c r="D418" s="3" t="s">
        <v>35</v>
      </c>
      <c r="E418" s="3" t="s">
        <v>77</v>
      </c>
      <c r="F418" s="3" t="s">
        <v>81</v>
      </c>
      <c r="G418" s="5" t="s">
        <v>82</v>
      </c>
      <c r="H418" s="3" t="n">
        <v>11</v>
      </c>
      <c r="I418" s="6" t="n">
        <v>818</v>
      </c>
      <c r="J418" s="6" t="n">
        <v>600</v>
      </c>
      <c r="K418" s="3" t="n">
        <v>40</v>
      </c>
      <c r="L418" s="3" t="s">
        <v>26</v>
      </c>
      <c r="M418" s="6" t="n">
        <v>8998</v>
      </c>
      <c r="N418" s="6" t="n">
        <v>2398</v>
      </c>
    </row>
    <row r="419" customFormat="false" ht="15" hidden="false" customHeight="true" outlineLevel="0" collapsed="false">
      <c r="A419" s="7" t="s">
        <v>515</v>
      </c>
      <c r="B419" s="8" t="n">
        <v>45172</v>
      </c>
      <c r="C419" s="7" t="s">
        <v>43</v>
      </c>
      <c r="D419" s="7" t="s">
        <v>16</v>
      </c>
      <c r="E419" s="7" t="s">
        <v>77</v>
      </c>
      <c r="F419" s="7" t="s">
        <v>152</v>
      </c>
      <c r="G419" s="9" t="s">
        <v>153</v>
      </c>
      <c r="H419" s="7" t="n">
        <v>7</v>
      </c>
      <c r="I419" s="10" t="n">
        <v>497</v>
      </c>
      <c r="J419" s="10" t="n">
        <v>350</v>
      </c>
      <c r="K419" s="7" t="n">
        <v>10</v>
      </c>
      <c r="L419" s="7" t="s">
        <v>26</v>
      </c>
      <c r="M419" s="10" t="n">
        <v>3479</v>
      </c>
      <c r="N419" s="10" t="n">
        <v>1029</v>
      </c>
    </row>
    <row r="420" customFormat="false" ht="15" hidden="false" customHeight="true" outlineLevel="0" collapsed="false">
      <c r="A420" s="3" t="s">
        <v>516</v>
      </c>
      <c r="B420" s="4" t="n">
        <v>45172</v>
      </c>
      <c r="C420" s="3" t="s">
        <v>136</v>
      </c>
      <c r="D420" s="3" t="s">
        <v>35</v>
      </c>
      <c r="E420" s="3" t="s">
        <v>30</v>
      </c>
      <c r="F420" s="3" t="s">
        <v>118</v>
      </c>
      <c r="G420" s="5" t="s">
        <v>119</v>
      </c>
      <c r="H420" s="3" t="n">
        <v>13</v>
      </c>
      <c r="I420" s="6" t="n">
        <v>394</v>
      </c>
      <c r="J420" s="6" t="n">
        <v>280</v>
      </c>
      <c r="K420" s="3" t="n">
        <v>27</v>
      </c>
      <c r="L420" s="3" t="s">
        <v>20</v>
      </c>
      <c r="M420" s="6" t="n">
        <v>5122</v>
      </c>
      <c r="N420" s="6" t="n">
        <v>1482</v>
      </c>
    </row>
    <row r="421" customFormat="false" ht="15" hidden="false" customHeight="true" outlineLevel="0" collapsed="false">
      <c r="A421" s="7" t="s">
        <v>517</v>
      </c>
      <c r="B421" s="8" t="n">
        <v>45173</v>
      </c>
      <c r="C421" s="7" t="s">
        <v>28</v>
      </c>
      <c r="D421" s="7" t="s">
        <v>29</v>
      </c>
      <c r="E421" s="7" t="s">
        <v>62</v>
      </c>
      <c r="F421" s="7" t="s">
        <v>103</v>
      </c>
      <c r="G421" s="9" t="s">
        <v>104</v>
      </c>
      <c r="H421" s="7" t="n">
        <v>1</v>
      </c>
      <c r="I421" s="10" t="n">
        <v>120</v>
      </c>
      <c r="J421" s="10" t="n">
        <v>90</v>
      </c>
      <c r="K421" s="7" t="n">
        <v>28</v>
      </c>
      <c r="L421" s="7" t="s">
        <v>20</v>
      </c>
      <c r="M421" s="10" t="n">
        <v>120</v>
      </c>
      <c r="N421" s="10" t="n">
        <v>30</v>
      </c>
    </row>
    <row r="422" customFormat="false" ht="15" hidden="false" customHeight="true" outlineLevel="0" collapsed="false">
      <c r="A422" s="3" t="s">
        <v>518</v>
      </c>
      <c r="B422" s="4" t="n">
        <v>45174</v>
      </c>
      <c r="C422" s="3" t="s">
        <v>72</v>
      </c>
      <c r="D422" s="3" t="s">
        <v>35</v>
      </c>
      <c r="E422" s="3" t="s">
        <v>77</v>
      </c>
      <c r="F422" s="3" t="s">
        <v>78</v>
      </c>
      <c r="G422" s="5" t="s">
        <v>79</v>
      </c>
      <c r="H422" s="3" t="n">
        <v>9</v>
      </c>
      <c r="I422" s="6" t="n">
        <v>1297</v>
      </c>
      <c r="J422" s="6" t="n">
        <v>900</v>
      </c>
      <c r="K422" s="3" t="n">
        <v>37</v>
      </c>
      <c r="L422" s="3" t="s">
        <v>26</v>
      </c>
      <c r="M422" s="6" t="n">
        <v>11673</v>
      </c>
      <c r="N422" s="6" t="n">
        <v>3573</v>
      </c>
    </row>
    <row r="423" customFormat="false" ht="15" hidden="false" customHeight="true" outlineLevel="0" collapsed="false">
      <c r="A423" s="7" t="s">
        <v>519</v>
      </c>
      <c r="B423" s="8" t="n">
        <v>45174</v>
      </c>
      <c r="C423" s="7" t="s">
        <v>34</v>
      </c>
      <c r="D423" s="7" t="s">
        <v>35</v>
      </c>
      <c r="E423" s="7" t="s">
        <v>39</v>
      </c>
      <c r="F423" s="7" t="s">
        <v>40</v>
      </c>
      <c r="G423" s="9" t="s">
        <v>41</v>
      </c>
      <c r="H423" s="7" t="n">
        <v>13</v>
      </c>
      <c r="I423" s="10" t="n">
        <v>108</v>
      </c>
      <c r="J423" s="10" t="n">
        <v>90</v>
      </c>
      <c r="K423" s="7" t="n">
        <v>10</v>
      </c>
      <c r="L423" s="7" t="s">
        <v>26</v>
      </c>
      <c r="M423" s="10" t="n">
        <v>1404</v>
      </c>
      <c r="N423" s="10" t="n">
        <v>234</v>
      </c>
    </row>
    <row r="424" customFormat="false" ht="15" hidden="false" customHeight="true" outlineLevel="0" collapsed="false">
      <c r="A424" s="3" t="s">
        <v>520</v>
      </c>
      <c r="B424" s="4" t="n">
        <v>45178</v>
      </c>
      <c r="C424" s="3" t="s">
        <v>28</v>
      </c>
      <c r="D424" s="3" t="s">
        <v>29</v>
      </c>
      <c r="E424" s="3" t="s">
        <v>23</v>
      </c>
      <c r="F424" s="3" t="s">
        <v>90</v>
      </c>
      <c r="G424" s="5" t="s">
        <v>91</v>
      </c>
      <c r="H424" s="3" t="n">
        <v>1</v>
      </c>
      <c r="I424" s="6" t="n">
        <v>726</v>
      </c>
      <c r="J424" s="6" t="n">
        <v>600</v>
      </c>
      <c r="K424" s="3" t="n">
        <v>19</v>
      </c>
      <c r="L424" s="3" t="s">
        <v>26</v>
      </c>
      <c r="M424" s="6" t="n">
        <v>726</v>
      </c>
      <c r="N424" s="6" t="n">
        <v>126</v>
      </c>
    </row>
    <row r="425" customFormat="false" ht="15" hidden="false" customHeight="true" outlineLevel="0" collapsed="false">
      <c r="A425" s="7" t="s">
        <v>521</v>
      </c>
      <c r="B425" s="8" t="n">
        <v>45178</v>
      </c>
      <c r="C425" s="7" t="s">
        <v>34</v>
      </c>
      <c r="D425" s="7" t="s">
        <v>35</v>
      </c>
      <c r="E425" s="7" t="s">
        <v>39</v>
      </c>
      <c r="F425" s="7" t="s">
        <v>220</v>
      </c>
      <c r="G425" s="9" t="s">
        <v>221</v>
      </c>
      <c r="H425" s="7" t="n">
        <v>5</v>
      </c>
      <c r="I425" s="10" t="n">
        <v>222</v>
      </c>
      <c r="J425" s="10" t="n">
        <v>180</v>
      </c>
      <c r="K425" s="7" t="n">
        <v>4</v>
      </c>
      <c r="L425" s="7" t="s">
        <v>20</v>
      </c>
      <c r="M425" s="10" t="n">
        <v>1110</v>
      </c>
      <c r="N425" s="10" t="n">
        <v>210</v>
      </c>
    </row>
    <row r="426" customFormat="false" ht="15" hidden="false" customHeight="true" outlineLevel="0" collapsed="false">
      <c r="A426" s="3" t="s">
        <v>522</v>
      </c>
      <c r="B426" s="4" t="n">
        <v>45179</v>
      </c>
      <c r="C426" s="3" t="s">
        <v>94</v>
      </c>
      <c r="D426" s="3" t="s">
        <v>48</v>
      </c>
      <c r="E426" s="3" t="s">
        <v>17</v>
      </c>
      <c r="F426" s="3" t="s">
        <v>66</v>
      </c>
      <c r="G426" s="5" t="s">
        <v>67</v>
      </c>
      <c r="H426" s="3" t="n">
        <v>7</v>
      </c>
      <c r="I426" s="6" t="n">
        <v>487</v>
      </c>
      <c r="J426" s="6" t="n">
        <v>350</v>
      </c>
      <c r="K426" s="3" t="n">
        <v>14</v>
      </c>
      <c r="L426" s="3" t="s">
        <v>20</v>
      </c>
      <c r="M426" s="6" t="n">
        <v>3409</v>
      </c>
      <c r="N426" s="6" t="n">
        <v>959</v>
      </c>
    </row>
    <row r="427" customFormat="false" ht="15" hidden="false" customHeight="true" outlineLevel="0" collapsed="false">
      <c r="A427" s="7" t="s">
        <v>523</v>
      </c>
      <c r="B427" s="8" t="n">
        <v>45181</v>
      </c>
      <c r="C427" s="7" t="s">
        <v>22</v>
      </c>
      <c r="D427" s="7" t="s">
        <v>16</v>
      </c>
      <c r="E427" s="7" t="s">
        <v>62</v>
      </c>
      <c r="F427" s="7" t="s">
        <v>69</v>
      </c>
      <c r="G427" s="9" t="s">
        <v>70</v>
      </c>
      <c r="H427" s="7" t="n">
        <v>10</v>
      </c>
      <c r="I427" s="10" t="n">
        <v>68</v>
      </c>
      <c r="J427" s="10" t="n">
        <v>50</v>
      </c>
      <c r="K427" s="7" t="n">
        <v>16</v>
      </c>
      <c r="L427" s="7" t="s">
        <v>26</v>
      </c>
      <c r="M427" s="10" t="n">
        <v>680</v>
      </c>
      <c r="N427" s="10" t="n">
        <v>180</v>
      </c>
    </row>
    <row r="428" customFormat="false" ht="15" hidden="false" customHeight="true" outlineLevel="0" collapsed="false">
      <c r="A428" s="3" t="s">
        <v>524</v>
      </c>
      <c r="B428" s="4" t="n">
        <v>45181</v>
      </c>
      <c r="C428" s="3" t="s">
        <v>136</v>
      </c>
      <c r="D428" s="3" t="s">
        <v>35</v>
      </c>
      <c r="E428" s="3" t="s">
        <v>23</v>
      </c>
      <c r="F428" s="3" t="s">
        <v>90</v>
      </c>
      <c r="G428" s="5" t="s">
        <v>91</v>
      </c>
      <c r="H428" s="3" t="n">
        <v>4</v>
      </c>
      <c r="I428" s="6" t="n">
        <v>748</v>
      </c>
      <c r="J428" s="6" t="n">
        <v>600</v>
      </c>
      <c r="K428" s="3" t="n">
        <v>23</v>
      </c>
      <c r="L428" s="3" t="s">
        <v>20</v>
      </c>
      <c r="M428" s="6" t="n">
        <v>2992</v>
      </c>
      <c r="N428" s="6" t="n">
        <v>592</v>
      </c>
    </row>
    <row r="429" customFormat="false" ht="15" hidden="false" customHeight="true" outlineLevel="0" collapsed="false">
      <c r="A429" s="7" t="s">
        <v>525</v>
      </c>
      <c r="B429" s="8" t="n">
        <v>45182</v>
      </c>
      <c r="C429" s="7" t="s">
        <v>94</v>
      </c>
      <c r="D429" s="7" t="s">
        <v>48</v>
      </c>
      <c r="E429" s="7" t="s">
        <v>30</v>
      </c>
      <c r="F429" s="7" t="s">
        <v>126</v>
      </c>
      <c r="G429" s="9" t="s">
        <v>127</v>
      </c>
      <c r="H429" s="7" t="n">
        <v>8</v>
      </c>
      <c r="I429" s="10" t="n">
        <v>607</v>
      </c>
      <c r="J429" s="10" t="n">
        <v>400</v>
      </c>
      <c r="K429" s="7" t="n">
        <v>35</v>
      </c>
      <c r="L429" s="7" t="s">
        <v>26</v>
      </c>
      <c r="M429" s="10" t="n">
        <v>4856</v>
      </c>
      <c r="N429" s="10" t="n">
        <v>1656</v>
      </c>
    </row>
    <row r="430" customFormat="false" ht="15" hidden="false" customHeight="true" outlineLevel="0" collapsed="false">
      <c r="A430" s="3" t="s">
        <v>526</v>
      </c>
      <c r="B430" s="4" t="n">
        <v>45183</v>
      </c>
      <c r="C430" s="3" t="s">
        <v>43</v>
      </c>
      <c r="D430" s="3" t="s">
        <v>16</v>
      </c>
      <c r="E430" s="3" t="s">
        <v>62</v>
      </c>
      <c r="F430" s="3" t="s">
        <v>96</v>
      </c>
      <c r="G430" s="5" t="s">
        <v>97</v>
      </c>
      <c r="H430" s="3" t="n">
        <v>5</v>
      </c>
      <c r="I430" s="6" t="n">
        <v>110</v>
      </c>
      <c r="J430" s="6" t="n">
        <v>80</v>
      </c>
      <c r="K430" s="3" t="n">
        <v>48</v>
      </c>
      <c r="L430" s="3" t="s">
        <v>26</v>
      </c>
      <c r="M430" s="6" t="n">
        <v>550</v>
      </c>
      <c r="N430" s="6" t="n">
        <v>150</v>
      </c>
    </row>
    <row r="431" customFormat="false" ht="15" hidden="false" customHeight="true" outlineLevel="0" collapsed="false">
      <c r="A431" s="7" t="s">
        <v>527</v>
      </c>
      <c r="B431" s="8" t="n">
        <v>45185</v>
      </c>
      <c r="C431" s="7" t="s">
        <v>72</v>
      </c>
      <c r="D431" s="7" t="s">
        <v>35</v>
      </c>
      <c r="E431" s="7" t="s">
        <v>62</v>
      </c>
      <c r="F431" s="7" t="s">
        <v>63</v>
      </c>
      <c r="G431" s="9" t="s">
        <v>64</v>
      </c>
      <c r="H431" s="7" t="n">
        <v>5</v>
      </c>
      <c r="I431" s="10" t="n">
        <v>84</v>
      </c>
      <c r="J431" s="10" t="n">
        <v>60</v>
      </c>
      <c r="K431" s="7" t="n">
        <v>47</v>
      </c>
      <c r="L431" s="7" t="s">
        <v>26</v>
      </c>
      <c r="M431" s="10" t="n">
        <v>420</v>
      </c>
      <c r="N431" s="10" t="n">
        <v>120</v>
      </c>
    </row>
    <row r="432" customFormat="false" ht="15" hidden="false" customHeight="true" outlineLevel="0" collapsed="false">
      <c r="A432" s="3" t="s">
        <v>528</v>
      </c>
      <c r="B432" s="4" t="n">
        <v>45185</v>
      </c>
      <c r="C432" s="3" t="s">
        <v>111</v>
      </c>
      <c r="D432" s="3" t="s">
        <v>29</v>
      </c>
      <c r="E432" s="3" t="s">
        <v>77</v>
      </c>
      <c r="F432" s="3" t="s">
        <v>129</v>
      </c>
      <c r="G432" s="5" t="s">
        <v>130</v>
      </c>
      <c r="H432" s="3" t="n">
        <v>6</v>
      </c>
      <c r="I432" s="6" t="n">
        <v>167</v>
      </c>
      <c r="J432" s="6" t="n">
        <v>120</v>
      </c>
      <c r="K432" s="3" t="n">
        <v>30</v>
      </c>
      <c r="L432" s="3" t="s">
        <v>20</v>
      </c>
      <c r="M432" s="6" t="n">
        <v>1002</v>
      </c>
      <c r="N432" s="6" t="n">
        <v>282</v>
      </c>
    </row>
    <row r="433" customFormat="false" ht="15" hidden="false" customHeight="true" outlineLevel="0" collapsed="false">
      <c r="A433" s="7" t="s">
        <v>529</v>
      </c>
      <c r="B433" s="8" t="n">
        <v>45190</v>
      </c>
      <c r="C433" s="7" t="s">
        <v>22</v>
      </c>
      <c r="D433" s="7" t="s">
        <v>16</v>
      </c>
      <c r="E433" s="7" t="s">
        <v>23</v>
      </c>
      <c r="F433" s="7" t="s">
        <v>204</v>
      </c>
      <c r="G433" s="9" t="s">
        <v>205</v>
      </c>
      <c r="H433" s="7" t="n">
        <v>1</v>
      </c>
      <c r="I433" s="10" t="n">
        <v>2218</v>
      </c>
      <c r="J433" s="10" t="n">
        <v>1800</v>
      </c>
      <c r="K433" s="7" t="n">
        <v>0</v>
      </c>
      <c r="L433" s="7" t="s">
        <v>26</v>
      </c>
      <c r="M433" s="10" t="n">
        <v>2218</v>
      </c>
      <c r="N433" s="10" t="n">
        <v>418</v>
      </c>
    </row>
    <row r="434" customFormat="false" ht="15" hidden="false" customHeight="true" outlineLevel="0" collapsed="false">
      <c r="A434" s="3" t="s">
        <v>530</v>
      </c>
      <c r="B434" s="4" t="n">
        <v>45190</v>
      </c>
      <c r="C434" s="3" t="s">
        <v>43</v>
      </c>
      <c r="D434" s="3" t="s">
        <v>16</v>
      </c>
      <c r="E434" s="3" t="s">
        <v>77</v>
      </c>
      <c r="F434" s="3" t="s">
        <v>81</v>
      </c>
      <c r="G434" s="5" t="s">
        <v>82</v>
      </c>
      <c r="H434" s="3" t="n">
        <v>15</v>
      </c>
      <c r="I434" s="6" t="n">
        <v>832</v>
      </c>
      <c r="J434" s="6" t="n">
        <v>600</v>
      </c>
      <c r="K434" s="3" t="n">
        <v>27</v>
      </c>
      <c r="L434" s="3" t="s">
        <v>26</v>
      </c>
      <c r="M434" s="6" t="n">
        <v>12480</v>
      </c>
      <c r="N434" s="6" t="n">
        <v>3480</v>
      </c>
    </row>
    <row r="435" customFormat="false" ht="15" hidden="false" customHeight="true" outlineLevel="0" collapsed="false">
      <c r="A435" s="7" t="s">
        <v>531</v>
      </c>
      <c r="B435" s="8" t="n">
        <v>45191</v>
      </c>
      <c r="C435" s="7" t="s">
        <v>22</v>
      </c>
      <c r="D435" s="7" t="s">
        <v>16</v>
      </c>
      <c r="E435" s="7" t="s">
        <v>39</v>
      </c>
      <c r="F435" s="7" t="s">
        <v>40</v>
      </c>
      <c r="G435" s="9" t="s">
        <v>41</v>
      </c>
      <c r="H435" s="7" t="n">
        <v>9</v>
      </c>
      <c r="I435" s="10" t="n">
        <v>108</v>
      </c>
      <c r="J435" s="10" t="n">
        <v>90</v>
      </c>
      <c r="K435" s="7" t="n">
        <v>14</v>
      </c>
      <c r="L435" s="7" t="s">
        <v>20</v>
      </c>
      <c r="M435" s="10" t="n">
        <v>972</v>
      </c>
      <c r="N435" s="10" t="n">
        <v>162</v>
      </c>
    </row>
    <row r="436" customFormat="false" ht="15" hidden="false" customHeight="true" outlineLevel="0" collapsed="false">
      <c r="A436" s="3" t="s">
        <v>532</v>
      </c>
      <c r="B436" s="4" t="n">
        <v>45193</v>
      </c>
      <c r="C436" s="3" t="s">
        <v>43</v>
      </c>
      <c r="D436" s="3" t="s">
        <v>16</v>
      </c>
      <c r="E436" s="3" t="s">
        <v>62</v>
      </c>
      <c r="F436" s="3" t="s">
        <v>103</v>
      </c>
      <c r="G436" s="5" t="s">
        <v>104</v>
      </c>
      <c r="H436" s="3" t="n">
        <v>15</v>
      </c>
      <c r="I436" s="6" t="n">
        <v>117</v>
      </c>
      <c r="J436" s="6" t="n">
        <v>90</v>
      </c>
      <c r="K436" s="3" t="n">
        <v>5</v>
      </c>
      <c r="L436" s="3" t="s">
        <v>20</v>
      </c>
      <c r="M436" s="6" t="n">
        <v>1755</v>
      </c>
      <c r="N436" s="6" t="n">
        <v>405</v>
      </c>
    </row>
    <row r="437" customFormat="false" ht="15" hidden="false" customHeight="true" outlineLevel="0" collapsed="false">
      <c r="A437" s="7" t="s">
        <v>533</v>
      </c>
      <c r="B437" s="8" t="n">
        <v>45193</v>
      </c>
      <c r="C437" s="7" t="s">
        <v>136</v>
      </c>
      <c r="D437" s="7" t="s">
        <v>35</v>
      </c>
      <c r="E437" s="7" t="s">
        <v>30</v>
      </c>
      <c r="F437" s="7" t="s">
        <v>126</v>
      </c>
      <c r="G437" s="9" t="s">
        <v>127</v>
      </c>
      <c r="H437" s="7" t="n">
        <v>8</v>
      </c>
      <c r="I437" s="10" t="n">
        <v>567</v>
      </c>
      <c r="J437" s="10" t="n">
        <v>400</v>
      </c>
      <c r="K437" s="7" t="n">
        <v>8</v>
      </c>
      <c r="L437" s="7" t="s">
        <v>26</v>
      </c>
      <c r="M437" s="10" t="n">
        <v>4536</v>
      </c>
      <c r="N437" s="10" t="n">
        <v>1336</v>
      </c>
    </row>
    <row r="438" customFormat="false" ht="15" hidden="false" customHeight="true" outlineLevel="0" collapsed="false">
      <c r="A438" s="3" t="s">
        <v>534</v>
      </c>
      <c r="B438" s="4" t="n">
        <v>45194</v>
      </c>
      <c r="C438" s="3" t="s">
        <v>58</v>
      </c>
      <c r="D438" s="3" t="s">
        <v>48</v>
      </c>
      <c r="E438" s="3" t="s">
        <v>77</v>
      </c>
      <c r="F438" s="3" t="s">
        <v>78</v>
      </c>
      <c r="G438" s="5" t="s">
        <v>79</v>
      </c>
      <c r="H438" s="3" t="n">
        <v>7</v>
      </c>
      <c r="I438" s="6" t="n">
        <v>1216</v>
      </c>
      <c r="J438" s="6" t="n">
        <v>900</v>
      </c>
      <c r="K438" s="3" t="n">
        <v>1</v>
      </c>
      <c r="L438" s="3" t="s">
        <v>26</v>
      </c>
      <c r="M438" s="6" t="n">
        <v>8512</v>
      </c>
      <c r="N438" s="6" t="n">
        <v>2212</v>
      </c>
    </row>
    <row r="439" customFormat="false" ht="15" hidden="false" customHeight="true" outlineLevel="0" collapsed="false">
      <c r="A439" s="7" t="s">
        <v>535</v>
      </c>
      <c r="B439" s="8" t="n">
        <v>45194</v>
      </c>
      <c r="C439" s="7" t="s">
        <v>72</v>
      </c>
      <c r="D439" s="7" t="s">
        <v>35</v>
      </c>
      <c r="E439" s="7" t="s">
        <v>23</v>
      </c>
      <c r="F439" s="7" t="s">
        <v>90</v>
      </c>
      <c r="G439" s="9" t="s">
        <v>91</v>
      </c>
      <c r="H439" s="7" t="n">
        <v>14</v>
      </c>
      <c r="I439" s="10" t="n">
        <v>752</v>
      </c>
      <c r="J439" s="10" t="n">
        <v>600</v>
      </c>
      <c r="K439" s="7" t="n">
        <v>8</v>
      </c>
      <c r="L439" s="7" t="s">
        <v>26</v>
      </c>
      <c r="M439" s="10" t="n">
        <v>10528</v>
      </c>
      <c r="N439" s="10" t="n">
        <v>2128</v>
      </c>
    </row>
    <row r="440" customFormat="false" ht="15" hidden="false" customHeight="true" outlineLevel="0" collapsed="false">
      <c r="A440" s="3" t="s">
        <v>536</v>
      </c>
      <c r="B440" s="4" t="n">
        <v>45194</v>
      </c>
      <c r="C440" s="3" t="s">
        <v>28</v>
      </c>
      <c r="D440" s="3" t="s">
        <v>29</v>
      </c>
      <c r="E440" s="3" t="s">
        <v>39</v>
      </c>
      <c r="F440" s="3" t="s">
        <v>99</v>
      </c>
      <c r="G440" s="5" t="s">
        <v>100</v>
      </c>
      <c r="H440" s="3" t="n">
        <v>3</v>
      </c>
      <c r="I440" s="6" t="n">
        <v>262</v>
      </c>
      <c r="J440" s="6" t="n">
        <v>220</v>
      </c>
      <c r="K440" s="3" t="n">
        <v>12</v>
      </c>
      <c r="L440" s="3" t="s">
        <v>26</v>
      </c>
      <c r="M440" s="6" t="n">
        <v>786</v>
      </c>
      <c r="N440" s="6" t="n">
        <v>126</v>
      </c>
    </row>
    <row r="441" customFormat="false" ht="15" hidden="false" customHeight="true" outlineLevel="0" collapsed="false">
      <c r="A441" s="7" t="s">
        <v>537</v>
      </c>
      <c r="B441" s="8" t="n">
        <v>45195</v>
      </c>
      <c r="C441" s="7" t="s">
        <v>94</v>
      </c>
      <c r="D441" s="7" t="s">
        <v>48</v>
      </c>
      <c r="E441" s="7" t="s">
        <v>39</v>
      </c>
      <c r="F441" s="7" t="s">
        <v>143</v>
      </c>
      <c r="G441" s="9" t="s">
        <v>144</v>
      </c>
      <c r="H441" s="7" t="n">
        <v>2</v>
      </c>
      <c r="I441" s="10" t="n">
        <v>347</v>
      </c>
      <c r="J441" s="10" t="n">
        <v>280</v>
      </c>
      <c r="K441" s="7" t="n">
        <v>32</v>
      </c>
      <c r="L441" s="7" t="s">
        <v>26</v>
      </c>
      <c r="M441" s="10" t="n">
        <v>694</v>
      </c>
      <c r="N441" s="10" t="n">
        <v>134</v>
      </c>
    </row>
    <row r="442" customFormat="false" ht="15" hidden="false" customHeight="true" outlineLevel="0" collapsed="false">
      <c r="A442" s="3" t="s">
        <v>538</v>
      </c>
      <c r="B442" s="4" t="n">
        <v>45196</v>
      </c>
      <c r="C442" s="3" t="s">
        <v>52</v>
      </c>
      <c r="D442" s="3" t="s">
        <v>29</v>
      </c>
      <c r="E442" s="3" t="s">
        <v>39</v>
      </c>
      <c r="F442" s="3" t="s">
        <v>161</v>
      </c>
      <c r="G442" s="5" t="s">
        <v>162</v>
      </c>
      <c r="H442" s="3" t="n">
        <v>14</v>
      </c>
      <c r="I442" s="6" t="n">
        <v>426</v>
      </c>
      <c r="J442" s="6" t="n">
        <v>350</v>
      </c>
      <c r="K442" s="3" t="n">
        <v>35</v>
      </c>
      <c r="L442" s="3" t="s">
        <v>20</v>
      </c>
      <c r="M442" s="6" t="n">
        <v>5964</v>
      </c>
      <c r="N442" s="6" t="n">
        <v>1064</v>
      </c>
    </row>
    <row r="443" customFormat="false" ht="15" hidden="false" customHeight="true" outlineLevel="0" collapsed="false">
      <c r="A443" s="7" t="s">
        <v>539</v>
      </c>
      <c r="B443" s="8" t="n">
        <v>45197</v>
      </c>
      <c r="C443" s="7" t="s">
        <v>28</v>
      </c>
      <c r="D443" s="7" t="s">
        <v>29</v>
      </c>
      <c r="E443" s="7" t="s">
        <v>17</v>
      </c>
      <c r="F443" s="7" t="s">
        <v>54</v>
      </c>
      <c r="G443" s="9" t="s">
        <v>55</v>
      </c>
      <c r="H443" s="7" t="n">
        <v>5</v>
      </c>
      <c r="I443" s="10" t="n">
        <v>656</v>
      </c>
      <c r="J443" s="10" t="n">
        <v>450</v>
      </c>
      <c r="K443" s="7" t="n">
        <v>33</v>
      </c>
      <c r="L443" s="7" t="s">
        <v>26</v>
      </c>
      <c r="M443" s="10" t="n">
        <v>3280</v>
      </c>
      <c r="N443" s="10" t="n">
        <v>1030</v>
      </c>
    </row>
    <row r="444" customFormat="false" ht="15" hidden="false" customHeight="true" outlineLevel="0" collapsed="false">
      <c r="A444" s="3" t="s">
        <v>540</v>
      </c>
      <c r="B444" s="4" t="n">
        <v>45201</v>
      </c>
      <c r="C444" s="3" t="s">
        <v>52</v>
      </c>
      <c r="D444" s="3" t="s">
        <v>29</v>
      </c>
      <c r="E444" s="3" t="s">
        <v>62</v>
      </c>
      <c r="F444" s="3" t="s">
        <v>103</v>
      </c>
      <c r="G444" s="5" t="s">
        <v>104</v>
      </c>
      <c r="H444" s="3" t="n">
        <v>15</v>
      </c>
      <c r="I444" s="6" t="n">
        <v>121</v>
      </c>
      <c r="J444" s="6" t="n">
        <v>90</v>
      </c>
      <c r="K444" s="3" t="n">
        <v>47</v>
      </c>
      <c r="L444" s="3" t="s">
        <v>26</v>
      </c>
      <c r="M444" s="6" t="n">
        <v>1815</v>
      </c>
      <c r="N444" s="6" t="n">
        <v>465</v>
      </c>
    </row>
    <row r="445" customFormat="false" ht="15" hidden="false" customHeight="true" outlineLevel="0" collapsed="false">
      <c r="A445" s="7" t="s">
        <v>541</v>
      </c>
      <c r="B445" s="8" t="n">
        <v>45202</v>
      </c>
      <c r="C445" s="7" t="s">
        <v>28</v>
      </c>
      <c r="D445" s="7" t="s">
        <v>29</v>
      </c>
      <c r="E445" s="7" t="s">
        <v>17</v>
      </c>
      <c r="F445" s="7" t="s">
        <v>54</v>
      </c>
      <c r="G445" s="9" t="s">
        <v>55</v>
      </c>
      <c r="H445" s="7" t="n">
        <v>9</v>
      </c>
      <c r="I445" s="10" t="n">
        <v>602</v>
      </c>
      <c r="J445" s="10" t="n">
        <v>450</v>
      </c>
      <c r="K445" s="7" t="n">
        <v>45</v>
      </c>
      <c r="L445" s="7" t="s">
        <v>26</v>
      </c>
      <c r="M445" s="10" t="n">
        <v>5418</v>
      </c>
      <c r="N445" s="10" t="n">
        <v>1368</v>
      </c>
    </row>
    <row r="446" customFormat="false" ht="15" hidden="false" customHeight="true" outlineLevel="0" collapsed="false">
      <c r="A446" s="3" t="s">
        <v>542</v>
      </c>
      <c r="B446" s="4" t="n">
        <v>45204</v>
      </c>
      <c r="C446" s="3" t="s">
        <v>47</v>
      </c>
      <c r="D446" s="3" t="s">
        <v>48</v>
      </c>
      <c r="E446" s="3" t="s">
        <v>17</v>
      </c>
      <c r="F446" s="3" t="s">
        <v>54</v>
      </c>
      <c r="G446" s="5" t="s">
        <v>55</v>
      </c>
      <c r="H446" s="3" t="n">
        <v>4</v>
      </c>
      <c r="I446" s="6" t="n">
        <v>658</v>
      </c>
      <c r="J446" s="6" t="n">
        <v>450</v>
      </c>
      <c r="K446" s="3" t="n">
        <v>43</v>
      </c>
      <c r="L446" s="3" t="s">
        <v>26</v>
      </c>
      <c r="M446" s="6" t="n">
        <v>2632</v>
      </c>
      <c r="N446" s="6" t="n">
        <v>832</v>
      </c>
    </row>
    <row r="447" customFormat="false" ht="15" hidden="false" customHeight="true" outlineLevel="0" collapsed="false">
      <c r="A447" s="7" t="s">
        <v>543</v>
      </c>
      <c r="B447" s="8" t="n">
        <v>45204</v>
      </c>
      <c r="C447" s="7" t="s">
        <v>47</v>
      </c>
      <c r="D447" s="7" t="s">
        <v>48</v>
      </c>
      <c r="E447" s="7" t="s">
        <v>30</v>
      </c>
      <c r="F447" s="7" t="s">
        <v>31</v>
      </c>
      <c r="G447" s="9" t="s">
        <v>32</v>
      </c>
      <c r="H447" s="7" t="n">
        <v>13</v>
      </c>
      <c r="I447" s="10" t="n">
        <v>1697</v>
      </c>
      <c r="J447" s="10" t="n">
        <v>1200</v>
      </c>
      <c r="K447" s="7" t="n">
        <v>2</v>
      </c>
      <c r="L447" s="7" t="s">
        <v>20</v>
      </c>
      <c r="M447" s="10" t="n">
        <v>22061</v>
      </c>
      <c r="N447" s="10" t="n">
        <v>6461</v>
      </c>
    </row>
    <row r="448" customFormat="false" ht="15" hidden="false" customHeight="true" outlineLevel="0" collapsed="false">
      <c r="A448" s="3" t="s">
        <v>544</v>
      </c>
      <c r="B448" s="4" t="n">
        <v>45204</v>
      </c>
      <c r="C448" s="3" t="s">
        <v>34</v>
      </c>
      <c r="D448" s="3" t="s">
        <v>35</v>
      </c>
      <c r="E448" s="3" t="s">
        <v>30</v>
      </c>
      <c r="F448" s="3" t="s">
        <v>36</v>
      </c>
      <c r="G448" s="5" t="s">
        <v>37</v>
      </c>
      <c r="H448" s="3" t="n">
        <v>11</v>
      </c>
      <c r="I448" s="6" t="n">
        <v>648</v>
      </c>
      <c r="J448" s="6" t="n">
        <v>450</v>
      </c>
      <c r="K448" s="3" t="n">
        <v>18</v>
      </c>
      <c r="L448" s="3" t="s">
        <v>26</v>
      </c>
      <c r="M448" s="6" t="n">
        <v>7128</v>
      </c>
      <c r="N448" s="6" t="n">
        <v>2178</v>
      </c>
    </row>
    <row r="449" customFormat="false" ht="15" hidden="false" customHeight="true" outlineLevel="0" collapsed="false">
      <c r="A449" s="7" t="s">
        <v>545</v>
      </c>
      <c r="B449" s="8" t="n">
        <v>45205</v>
      </c>
      <c r="C449" s="7" t="s">
        <v>43</v>
      </c>
      <c r="D449" s="7" t="s">
        <v>16</v>
      </c>
      <c r="E449" s="7" t="s">
        <v>62</v>
      </c>
      <c r="F449" s="7" t="s">
        <v>69</v>
      </c>
      <c r="G449" s="9" t="s">
        <v>70</v>
      </c>
      <c r="H449" s="7" t="n">
        <v>11</v>
      </c>
      <c r="I449" s="10" t="n">
        <v>69</v>
      </c>
      <c r="J449" s="10" t="n">
        <v>50</v>
      </c>
      <c r="K449" s="7" t="n">
        <v>17</v>
      </c>
      <c r="L449" s="7" t="s">
        <v>26</v>
      </c>
      <c r="M449" s="10" t="n">
        <v>759</v>
      </c>
      <c r="N449" s="10" t="n">
        <v>209</v>
      </c>
    </row>
    <row r="450" customFormat="false" ht="15" hidden="false" customHeight="true" outlineLevel="0" collapsed="false">
      <c r="A450" s="3" t="s">
        <v>546</v>
      </c>
      <c r="B450" s="4" t="n">
        <v>45206</v>
      </c>
      <c r="C450" s="3" t="s">
        <v>15</v>
      </c>
      <c r="D450" s="3" t="s">
        <v>16</v>
      </c>
      <c r="E450" s="3" t="s">
        <v>23</v>
      </c>
      <c r="F450" s="3" t="s">
        <v>204</v>
      </c>
      <c r="G450" s="5" t="s">
        <v>205</v>
      </c>
      <c r="H450" s="3" t="n">
        <v>10</v>
      </c>
      <c r="I450" s="6" t="n">
        <v>2302</v>
      </c>
      <c r="J450" s="6" t="n">
        <v>1800</v>
      </c>
      <c r="K450" s="3" t="n">
        <v>35</v>
      </c>
      <c r="L450" s="3" t="s">
        <v>20</v>
      </c>
      <c r="M450" s="6" t="n">
        <v>23020</v>
      </c>
      <c r="N450" s="6" t="n">
        <v>5020</v>
      </c>
    </row>
    <row r="451" customFormat="false" ht="15" hidden="false" customHeight="true" outlineLevel="0" collapsed="false">
      <c r="A451" s="7" t="s">
        <v>547</v>
      </c>
      <c r="B451" s="8" t="n">
        <v>45207</v>
      </c>
      <c r="C451" s="7" t="s">
        <v>15</v>
      </c>
      <c r="D451" s="7" t="s">
        <v>16</v>
      </c>
      <c r="E451" s="7" t="s">
        <v>62</v>
      </c>
      <c r="F451" s="7" t="s">
        <v>96</v>
      </c>
      <c r="G451" s="9" t="s">
        <v>97</v>
      </c>
      <c r="H451" s="7" t="n">
        <v>2</v>
      </c>
      <c r="I451" s="10" t="n">
        <v>112</v>
      </c>
      <c r="J451" s="10" t="n">
        <v>80</v>
      </c>
      <c r="K451" s="7" t="n">
        <v>6</v>
      </c>
      <c r="L451" s="7" t="s">
        <v>26</v>
      </c>
      <c r="M451" s="10" t="n">
        <v>224</v>
      </c>
      <c r="N451" s="10" t="n">
        <v>64</v>
      </c>
    </row>
    <row r="452" customFormat="false" ht="15" hidden="false" customHeight="true" outlineLevel="0" collapsed="false">
      <c r="A452" s="3" t="s">
        <v>548</v>
      </c>
      <c r="B452" s="4" t="n">
        <v>45209</v>
      </c>
      <c r="C452" s="3" t="s">
        <v>111</v>
      </c>
      <c r="D452" s="3" t="s">
        <v>29</v>
      </c>
      <c r="E452" s="3" t="s">
        <v>77</v>
      </c>
      <c r="F452" s="3" t="s">
        <v>129</v>
      </c>
      <c r="G452" s="5" t="s">
        <v>130</v>
      </c>
      <c r="H452" s="3" t="n">
        <v>2</v>
      </c>
      <c r="I452" s="6" t="n">
        <v>165</v>
      </c>
      <c r="J452" s="6" t="n">
        <v>120</v>
      </c>
      <c r="K452" s="3" t="n">
        <v>44</v>
      </c>
      <c r="L452" s="3" t="s">
        <v>20</v>
      </c>
      <c r="M452" s="6" t="n">
        <v>330</v>
      </c>
      <c r="N452" s="6" t="n">
        <v>90</v>
      </c>
    </row>
    <row r="453" customFormat="false" ht="15" hidden="false" customHeight="true" outlineLevel="0" collapsed="false">
      <c r="A453" s="7" t="s">
        <v>549</v>
      </c>
      <c r="B453" s="8" t="n">
        <v>45210</v>
      </c>
      <c r="C453" s="7" t="s">
        <v>34</v>
      </c>
      <c r="D453" s="7" t="s">
        <v>35</v>
      </c>
      <c r="E453" s="7" t="s">
        <v>17</v>
      </c>
      <c r="F453" s="7" t="s">
        <v>66</v>
      </c>
      <c r="G453" s="9" t="s">
        <v>67</v>
      </c>
      <c r="H453" s="7" t="n">
        <v>7</v>
      </c>
      <c r="I453" s="10" t="n">
        <v>474</v>
      </c>
      <c r="J453" s="10" t="n">
        <v>350</v>
      </c>
      <c r="K453" s="7" t="n">
        <v>24</v>
      </c>
      <c r="L453" s="7" t="s">
        <v>26</v>
      </c>
      <c r="M453" s="10" t="n">
        <v>3318</v>
      </c>
      <c r="N453" s="10" t="n">
        <v>868</v>
      </c>
    </row>
    <row r="454" customFormat="false" ht="15" hidden="false" customHeight="true" outlineLevel="0" collapsed="false">
      <c r="A454" s="3" t="s">
        <v>550</v>
      </c>
      <c r="B454" s="4" t="n">
        <v>45210</v>
      </c>
      <c r="C454" s="3" t="s">
        <v>72</v>
      </c>
      <c r="D454" s="3" t="s">
        <v>35</v>
      </c>
      <c r="E454" s="3" t="s">
        <v>77</v>
      </c>
      <c r="F454" s="3" t="s">
        <v>81</v>
      </c>
      <c r="G454" s="5" t="s">
        <v>82</v>
      </c>
      <c r="H454" s="3" t="n">
        <v>13</v>
      </c>
      <c r="I454" s="6" t="n">
        <v>854</v>
      </c>
      <c r="J454" s="6" t="n">
        <v>600</v>
      </c>
      <c r="K454" s="3" t="n">
        <v>49</v>
      </c>
      <c r="L454" s="3" t="s">
        <v>26</v>
      </c>
      <c r="M454" s="6" t="n">
        <v>11102</v>
      </c>
      <c r="N454" s="6" t="n">
        <v>3302</v>
      </c>
    </row>
    <row r="455" customFormat="false" ht="15" hidden="false" customHeight="true" outlineLevel="0" collapsed="false">
      <c r="A455" s="7" t="s">
        <v>551</v>
      </c>
      <c r="B455" s="8" t="n">
        <v>45210</v>
      </c>
      <c r="C455" s="7" t="s">
        <v>111</v>
      </c>
      <c r="D455" s="7" t="s">
        <v>29</v>
      </c>
      <c r="E455" s="7" t="s">
        <v>17</v>
      </c>
      <c r="F455" s="7" t="s">
        <v>44</v>
      </c>
      <c r="G455" s="9" t="s">
        <v>45</v>
      </c>
      <c r="H455" s="7" t="n">
        <v>5</v>
      </c>
      <c r="I455" s="10" t="n">
        <v>353</v>
      </c>
      <c r="J455" s="10" t="n">
        <v>250</v>
      </c>
      <c r="K455" s="7" t="n">
        <v>30</v>
      </c>
      <c r="L455" s="7" t="s">
        <v>26</v>
      </c>
      <c r="M455" s="10" t="n">
        <v>1765</v>
      </c>
      <c r="N455" s="10" t="n">
        <v>515</v>
      </c>
    </row>
    <row r="456" customFormat="false" ht="15" hidden="false" customHeight="true" outlineLevel="0" collapsed="false">
      <c r="A456" s="3" t="s">
        <v>552</v>
      </c>
      <c r="B456" s="4" t="n">
        <v>45212</v>
      </c>
      <c r="C456" s="3" t="s">
        <v>34</v>
      </c>
      <c r="D456" s="3" t="s">
        <v>35</v>
      </c>
      <c r="E456" s="3" t="s">
        <v>39</v>
      </c>
      <c r="F456" s="3" t="s">
        <v>143</v>
      </c>
      <c r="G456" s="5" t="s">
        <v>144</v>
      </c>
      <c r="H456" s="3" t="n">
        <v>14</v>
      </c>
      <c r="I456" s="6" t="n">
        <v>342</v>
      </c>
      <c r="J456" s="6" t="n">
        <v>280</v>
      </c>
      <c r="K456" s="3" t="n">
        <v>30</v>
      </c>
      <c r="L456" s="3" t="s">
        <v>26</v>
      </c>
      <c r="M456" s="6" t="n">
        <v>4788</v>
      </c>
      <c r="N456" s="6" t="n">
        <v>868</v>
      </c>
    </row>
    <row r="457" customFormat="false" ht="15" hidden="false" customHeight="true" outlineLevel="0" collapsed="false">
      <c r="A457" s="7" t="s">
        <v>553</v>
      </c>
      <c r="B457" s="8" t="n">
        <v>45212</v>
      </c>
      <c r="C457" s="7" t="s">
        <v>28</v>
      </c>
      <c r="D457" s="7" t="s">
        <v>29</v>
      </c>
      <c r="E457" s="7" t="s">
        <v>17</v>
      </c>
      <c r="F457" s="7" t="s">
        <v>54</v>
      </c>
      <c r="G457" s="9" t="s">
        <v>55</v>
      </c>
      <c r="H457" s="7" t="n">
        <v>10</v>
      </c>
      <c r="I457" s="10" t="n">
        <v>636</v>
      </c>
      <c r="J457" s="10" t="n">
        <v>450</v>
      </c>
      <c r="K457" s="7" t="n">
        <v>4</v>
      </c>
      <c r="L457" s="7" t="s">
        <v>20</v>
      </c>
      <c r="M457" s="10" t="n">
        <v>6360</v>
      </c>
      <c r="N457" s="10" t="n">
        <v>1860</v>
      </c>
    </row>
    <row r="458" customFormat="false" ht="15" hidden="false" customHeight="true" outlineLevel="0" collapsed="false">
      <c r="A458" s="3" t="s">
        <v>554</v>
      </c>
      <c r="B458" s="4" t="n">
        <v>45214</v>
      </c>
      <c r="C458" s="3" t="s">
        <v>28</v>
      </c>
      <c r="D458" s="3" t="s">
        <v>29</v>
      </c>
      <c r="E458" s="3" t="s">
        <v>17</v>
      </c>
      <c r="F458" s="3" t="s">
        <v>44</v>
      </c>
      <c r="G458" s="5" t="s">
        <v>45</v>
      </c>
      <c r="H458" s="3" t="n">
        <v>8</v>
      </c>
      <c r="I458" s="6" t="n">
        <v>359</v>
      </c>
      <c r="J458" s="6" t="n">
        <v>250</v>
      </c>
      <c r="K458" s="3" t="n">
        <v>22</v>
      </c>
      <c r="L458" s="3" t="s">
        <v>26</v>
      </c>
      <c r="M458" s="6" t="n">
        <v>2872</v>
      </c>
      <c r="N458" s="6" t="n">
        <v>872</v>
      </c>
    </row>
    <row r="459" customFormat="false" ht="15" hidden="false" customHeight="true" outlineLevel="0" collapsed="false">
      <c r="A459" s="7" t="s">
        <v>555</v>
      </c>
      <c r="B459" s="8" t="n">
        <v>45215</v>
      </c>
      <c r="C459" s="7" t="s">
        <v>72</v>
      </c>
      <c r="D459" s="7" t="s">
        <v>35</v>
      </c>
      <c r="E459" s="7" t="s">
        <v>62</v>
      </c>
      <c r="F459" s="7" t="s">
        <v>96</v>
      </c>
      <c r="G459" s="9" t="s">
        <v>97</v>
      </c>
      <c r="H459" s="7" t="n">
        <v>11</v>
      </c>
      <c r="I459" s="10" t="n">
        <v>108</v>
      </c>
      <c r="J459" s="10" t="n">
        <v>80</v>
      </c>
      <c r="K459" s="7" t="n">
        <v>43</v>
      </c>
      <c r="L459" s="7" t="s">
        <v>26</v>
      </c>
      <c r="M459" s="10" t="n">
        <v>1188</v>
      </c>
      <c r="N459" s="10" t="n">
        <v>308</v>
      </c>
    </row>
    <row r="460" customFormat="false" ht="15" hidden="false" customHeight="true" outlineLevel="0" collapsed="false">
      <c r="A460" s="3" t="s">
        <v>556</v>
      </c>
      <c r="B460" s="4" t="n">
        <v>45215</v>
      </c>
      <c r="C460" s="3" t="s">
        <v>22</v>
      </c>
      <c r="D460" s="3" t="s">
        <v>16</v>
      </c>
      <c r="E460" s="3" t="s">
        <v>77</v>
      </c>
      <c r="F460" s="3" t="s">
        <v>152</v>
      </c>
      <c r="G460" s="5" t="s">
        <v>153</v>
      </c>
      <c r="H460" s="3" t="n">
        <v>9</v>
      </c>
      <c r="I460" s="6" t="n">
        <v>459</v>
      </c>
      <c r="J460" s="6" t="n">
        <v>350</v>
      </c>
      <c r="K460" s="3" t="n">
        <v>4</v>
      </c>
      <c r="L460" s="3" t="s">
        <v>20</v>
      </c>
      <c r="M460" s="6" t="n">
        <v>4131</v>
      </c>
      <c r="N460" s="6" t="n">
        <v>981</v>
      </c>
    </row>
    <row r="461" customFormat="false" ht="15" hidden="false" customHeight="true" outlineLevel="0" collapsed="false">
      <c r="A461" s="7" t="s">
        <v>557</v>
      </c>
      <c r="B461" s="8" t="n">
        <v>45218</v>
      </c>
      <c r="C461" s="7" t="s">
        <v>15</v>
      </c>
      <c r="D461" s="7" t="s">
        <v>16</v>
      </c>
      <c r="E461" s="7" t="s">
        <v>39</v>
      </c>
      <c r="F461" s="7" t="s">
        <v>99</v>
      </c>
      <c r="G461" s="9" t="s">
        <v>100</v>
      </c>
      <c r="H461" s="7" t="n">
        <v>15</v>
      </c>
      <c r="I461" s="10" t="n">
        <v>262</v>
      </c>
      <c r="J461" s="10" t="n">
        <v>220</v>
      </c>
      <c r="K461" s="7" t="n">
        <v>24</v>
      </c>
      <c r="L461" s="7" t="s">
        <v>20</v>
      </c>
      <c r="M461" s="10" t="n">
        <v>3930</v>
      </c>
      <c r="N461" s="10" t="n">
        <v>630</v>
      </c>
    </row>
    <row r="462" customFormat="false" ht="15" hidden="false" customHeight="true" outlineLevel="0" collapsed="false">
      <c r="A462" s="3" t="s">
        <v>558</v>
      </c>
      <c r="B462" s="4" t="n">
        <v>45219</v>
      </c>
      <c r="C462" s="3" t="s">
        <v>52</v>
      </c>
      <c r="D462" s="3" t="s">
        <v>29</v>
      </c>
      <c r="E462" s="3" t="s">
        <v>23</v>
      </c>
      <c r="F462" s="3" t="s">
        <v>198</v>
      </c>
      <c r="G462" s="5" t="s">
        <v>199</v>
      </c>
      <c r="H462" s="3" t="n">
        <v>8</v>
      </c>
      <c r="I462" s="6" t="n">
        <v>1129</v>
      </c>
      <c r="J462" s="6" t="n">
        <v>900</v>
      </c>
      <c r="K462" s="3" t="n">
        <v>48</v>
      </c>
      <c r="L462" s="3" t="s">
        <v>20</v>
      </c>
      <c r="M462" s="6" t="n">
        <v>9032</v>
      </c>
      <c r="N462" s="6" t="n">
        <v>1832</v>
      </c>
    </row>
    <row r="463" customFormat="false" ht="15" hidden="false" customHeight="true" outlineLevel="0" collapsed="false">
      <c r="A463" s="7" t="s">
        <v>559</v>
      </c>
      <c r="B463" s="8" t="n">
        <v>45222</v>
      </c>
      <c r="C463" s="7" t="s">
        <v>15</v>
      </c>
      <c r="D463" s="7" t="s">
        <v>16</v>
      </c>
      <c r="E463" s="7" t="s">
        <v>30</v>
      </c>
      <c r="F463" s="7" t="s">
        <v>31</v>
      </c>
      <c r="G463" s="9" t="s">
        <v>32</v>
      </c>
      <c r="H463" s="7" t="n">
        <v>8</v>
      </c>
      <c r="I463" s="10" t="n">
        <v>1771</v>
      </c>
      <c r="J463" s="10" t="n">
        <v>1200</v>
      </c>
      <c r="K463" s="7" t="n">
        <v>1</v>
      </c>
      <c r="L463" s="7" t="s">
        <v>26</v>
      </c>
      <c r="M463" s="10" t="n">
        <v>14168</v>
      </c>
      <c r="N463" s="10" t="n">
        <v>4568</v>
      </c>
    </row>
    <row r="464" customFormat="false" ht="15" hidden="false" customHeight="true" outlineLevel="0" collapsed="false">
      <c r="A464" s="3" t="s">
        <v>560</v>
      </c>
      <c r="B464" s="4" t="n">
        <v>45223</v>
      </c>
      <c r="C464" s="3" t="s">
        <v>22</v>
      </c>
      <c r="D464" s="3" t="s">
        <v>16</v>
      </c>
      <c r="E464" s="3" t="s">
        <v>17</v>
      </c>
      <c r="F464" s="3" t="s">
        <v>18</v>
      </c>
      <c r="G464" s="5" t="s">
        <v>19</v>
      </c>
      <c r="H464" s="3" t="n">
        <v>3</v>
      </c>
      <c r="I464" s="6" t="n">
        <v>1233</v>
      </c>
      <c r="J464" s="6" t="n">
        <v>900</v>
      </c>
      <c r="K464" s="3" t="n">
        <v>47</v>
      </c>
      <c r="L464" s="3" t="s">
        <v>26</v>
      </c>
      <c r="M464" s="6" t="n">
        <v>3699</v>
      </c>
      <c r="N464" s="6" t="n">
        <v>999</v>
      </c>
    </row>
    <row r="465" customFormat="false" ht="15" hidden="false" customHeight="true" outlineLevel="0" collapsed="false">
      <c r="A465" s="7" t="s">
        <v>561</v>
      </c>
      <c r="B465" s="8" t="n">
        <v>45226</v>
      </c>
      <c r="C465" s="7" t="s">
        <v>72</v>
      </c>
      <c r="D465" s="7" t="s">
        <v>35</v>
      </c>
      <c r="E465" s="7" t="s">
        <v>39</v>
      </c>
      <c r="F465" s="7" t="s">
        <v>40</v>
      </c>
      <c r="G465" s="9" t="s">
        <v>41</v>
      </c>
      <c r="H465" s="7" t="n">
        <v>12</v>
      </c>
      <c r="I465" s="10" t="n">
        <v>111</v>
      </c>
      <c r="J465" s="10" t="n">
        <v>90</v>
      </c>
      <c r="K465" s="7" t="n">
        <v>46</v>
      </c>
      <c r="L465" s="7" t="s">
        <v>26</v>
      </c>
      <c r="M465" s="10" t="n">
        <v>1332</v>
      </c>
      <c r="N465" s="10" t="n">
        <v>252</v>
      </c>
    </row>
    <row r="466" customFormat="false" ht="15" hidden="false" customHeight="true" outlineLevel="0" collapsed="false">
      <c r="A466" s="3" t="s">
        <v>562</v>
      </c>
      <c r="B466" s="4" t="n">
        <v>45232</v>
      </c>
      <c r="C466" s="3" t="s">
        <v>43</v>
      </c>
      <c r="D466" s="3" t="s">
        <v>16</v>
      </c>
      <c r="E466" s="3" t="s">
        <v>17</v>
      </c>
      <c r="F466" s="3" t="s">
        <v>54</v>
      </c>
      <c r="G466" s="5" t="s">
        <v>55</v>
      </c>
      <c r="H466" s="3" t="n">
        <v>7</v>
      </c>
      <c r="I466" s="6" t="n">
        <v>606</v>
      </c>
      <c r="J466" s="6" t="n">
        <v>450</v>
      </c>
      <c r="K466" s="3" t="n">
        <v>4</v>
      </c>
      <c r="L466" s="3" t="s">
        <v>26</v>
      </c>
      <c r="M466" s="6" t="n">
        <v>4242</v>
      </c>
      <c r="N466" s="6" t="n">
        <v>1092</v>
      </c>
    </row>
    <row r="467" customFormat="false" ht="15" hidden="false" customHeight="true" outlineLevel="0" collapsed="false">
      <c r="A467" s="7" t="s">
        <v>563</v>
      </c>
      <c r="B467" s="8" t="n">
        <v>45232</v>
      </c>
      <c r="C467" s="7" t="s">
        <v>28</v>
      </c>
      <c r="D467" s="7" t="s">
        <v>29</v>
      </c>
      <c r="E467" s="7" t="s">
        <v>23</v>
      </c>
      <c r="F467" s="7" t="s">
        <v>49</v>
      </c>
      <c r="G467" s="9" t="s">
        <v>50</v>
      </c>
      <c r="H467" s="7" t="n">
        <v>10</v>
      </c>
      <c r="I467" s="10" t="n">
        <v>22601</v>
      </c>
      <c r="J467" s="10" t="n">
        <v>18000</v>
      </c>
      <c r="K467" s="7" t="n">
        <v>38</v>
      </c>
      <c r="L467" s="7" t="s">
        <v>20</v>
      </c>
      <c r="M467" s="10" t="n">
        <v>226010</v>
      </c>
      <c r="N467" s="10" t="n">
        <v>46010</v>
      </c>
    </row>
    <row r="468" customFormat="false" ht="15" hidden="false" customHeight="true" outlineLevel="0" collapsed="false">
      <c r="A468" s="3" t="s">
        <v>564</v>
      </c>
      <c r="B468" s="4" t="n">
        <v>45233</v>
      </c>
      <c r="C468" s="3" t="s">
        <v>47</v>
      </c>
      <c r="D468" s="3" t="s">
        <v>48</v>
      </c>
      <c r="E468" s="3" t="s">
        <v>62</v>
      </c>
      <c r="F468" s="3" t="s">
        <v>69</v>
      </c>
      <c r="G468" s="5" t="s">
        <v>70</v>
      </c>
      <c r="H468" s="3" t="n">
        <v>10</v>
      </c>
      <c r="I468" s="6" t="n">
        <v>66</v>
      </c>
      <c r="J468" s="6" t="n">
        <v>50</v>
      </c>
      <c r="K468" s="3" t="n">
        <v>28</v>
      </c>
      <c r="L468" s="3" t="s">
        <v>20</v>
      </c>
      <c r="M468" s="6" t="n">
        <v>660</v>
      </c>
      <c r="N468" s="6" t="n">
        <v>160</v>
      </c>
    </row>
    <row r="469" customFormat="false" ht="15" hidden="false" customHeight="true" outlineLevel="0" collapsed="false">
      <c r="A469" s="7" t="s">
        <v>565</v>
      </c>
      <c r="B469" s="8" t="n">
        <v>45239</v>
      </c>
      <c r="C469" s="7" t="s">
        <v>136</v>
      </c>
      <c r="D469" s="7" t="s">
        <v>35</v>
      </c>
      <c r="E469" s="7" t="s">
        <v>17</v>
      </c>
      <c r="F469" s="7" t="s">
        <v>54</v>
      </c>
      <c r="G469" s="9" t="s">
        <v>55</v>
      </c>
      <c r="H469" s="7" t="n">
        <v>15</v>
      </c>
      <c r="I469" s="10" t="n">
        <v>653</v>
      </c>
      <c r="J469" s="10" t="n">
        <v>450</v>
      </c>
      <c r="K469" s="7" t="n">
        <v>4</v>
      </c>
      <c r="L469" s="7" t="s">
        <v>20</v>
      </c>
      <c r="M469" s="10" t="n">
        <v>9795</v>
      </c>
      <c r="N469" s="10" t="n">
        <v>3045</v>
      </c>
    </row>
    <row r="470" customFormat="false" ht="15" hidden="false" customHeight="true" outlineLevel="0" collapsed="false">
      <c r="A470" s="3" t="s">
        <v>566</v>
      </c>
      <c r="B470" s="4" t="n">
        <v>45241</v>
      </c>
      <c r="C470" s="3" t="s">
        <v>111</v>
      </c>
      <c r="D470" s="3" t="s">
        <v>29</v>
      </c>
      <c r="E470" s="3" t="s">
        <v>30</v>
      </c>
      <c r="F470" s="3" t="s">
        <v>118</v>
      </c>
      <c r="G470" s="5" t="s">
        <v>119</v>
      </c>
      <c r="H470" s="3" t="n">
        <v>12</v>
      </c>
      <c r="I470" s="6" t="n">
        <v>387</v>
      </c>
      <c r="J470" s="6" t="n">
        <v>280</v>
      </c>
      <c r="K470" s="3" t="n">
        <v>30</v>
      </c>
      <c r="L470" s="3" t="s">
        <v>20</v>
      </c>
      <c r="M470" s="6" t="n">
        <v>4644</v>
      </c>
      <c r="N470" s="6" t="n">
        <v>1284</v>
      </c>
    </row>
    <row r="471" customFormat="false" ht="15" hidden="false" customHeight="true" outlineLevel="0" collapsed="false">
      <c r="A471" s="7" t="s">
        <v>567</v>
      </c>
      <c r="B471" s="8" t="n">
        <v>45241</v>
      </c>
      <c r="C471" s="7" t="s">
        <v>111</v>
      </c>
      <c r="D471" s="7" t="s">
        <v>29</v>
      </c>
      <c r="E471" s="7" t="s">
        <v>77</v>
      </c>
      <c r="F471" s="7" t="s">
        <v>81</v>
      </c>
      <c r="G471" s="9" t="s">
        <v>82</v>
      </c>
      <c r="H471" s="7" t="n">
        <v>13</v>
      </c>
      <c r="I471" s="10" t="n">
        <v>794</v>
      </c>
      <c r="J471" s="10" t="n">
        <v>600</v>
      </c>
      <c r="K471" s="7" t="n">
        <v>6</v>
      </c>
      <c r="L471" s="7" t="s">
        <v>20</v>
      </c>
      <c r="M471" s="10" t="n">
        <v>10322</v>
      </c>
      <c r="N471" s="10" t="n">
        <v>2522</v>
      </c>
    </row>
    <row r="472" customFormat="false" ht="15" hidden="false" customHeight="true" outlineLevel="0" collapsed="false">
      <c r="A472" s="3" t="s">
        <v>568</v>
      </c>
      <c r="B472" s="4" t="n">
        <v>45245</v>
      </c>
      <c r="C472" s="3" t="s">
        <v>72</v>
      </c>
      <c r="D472" s="3" t="s">
        <v>35</v>
      </c>
      <c r="E472" s="3" t="s">
        <v>62</v>
      </c>
      <c r="F472" s="3" t="s">
        <v>103</v>
      </c>
      <c r="G472" s="5" t="s">
        <v>104</v>
      </c>
      <c r="H472" s="3" t="n">
        <v>11</v>
      </c>
      <c r="I472" s="6" t="n">
        <v>116</v>
      </c>
      <c r="J472" s="6" t="n">
        <v>90</v>
      </c>
      <c r="K472" s="3" t="n">
        <v>50</v>
      </c>
      <c r="L472" s="3" t="s">
        <v>26</v>
      </c>
      <c r="M472" s="6" t="n">
        <v>1276</v>
      </c>
      <c r="N472" s="6" t="n">
        <v>286</v>
      </c>
    </row>
    <row r="473" customFormat="false" ht="15" hidden="false" customHeight="true" outlineLevel="0" collapsed="false">
      <c r="A473" s="7" t="s">
        <v>569</v>
      </c>
      <c r="B473" s="8" t="n">
        <v>45246</v>
      </c>
      <c r="C473" s="7" t="s">
        <v>58</v>
      </c>
      <c r="D473" s="7" t="s">
        <v>48</v>
      </c>
      <c r="E473" s="7" t="s">
        <v>17</v>
      </c>
      <c r="F473" s="7" t="s">
        <v>44</v>
      </c>
      <c r="G473" s="9" t="s">
        <v>45</v>
      </c>
      <c r="H473" s="7" t="n">
        <v>9</v>
      </c>
      <c r="I473" s="10" t="n">
        <v>337</v>
      </c>
      <c r="J473" s="10" t="n">
        <v>250</v>
      </c>
      <c r="K473" s="7" t="n">
        <v>38</v>
      </c>
      <c r="L473" s="7" t="s">
        <v>26</v>
      </c>
      <c r="M473" s="10" t="n">
        <v>3033</v>
      </c>
      <c r="N473" s="10" t="n">
        <v>783</v>
      </c>
    </row>
    <row r="474" customFormat="false" ht="15" hidden="false" customHeight="true" outlineLevel="0" collapsed="false">
      <c r="A474" s="3" t="s">
        <v>570</v>
      </c>
      <c r="B474" s="4" t="n">
        <v>45247</v>
      </c>
      <c r="C474" s="3" t="s">
        <v>28</v>
      </c>
      <c r="D474" s="3" t="s">
        <v>29</v>
      </c>
      <c r="E474" s="3" t="s">
        <v>77</v>
      </c>
      <c r="F474" s="3" t="s">
        <v>180</v>
      </c>
      <c r="G474" s="5" t="s">
        <v>181</v>
      </c>
      <c r="H474" s="3" t="n">
        <v>10</v>
      </c>
      <c r="I474" s="6" t="n">
        <v>239</v>
      </c>
      <c r="J474" s="6" t="n">
        <v>180</v>
      </c>
      <c r="K474" s="3" t="n">
        <v>21</v>
      </c>
      <c r="L474" s="3" t="s">
        <v>20</v>
      </c>
      <c r="M474" s="6" t="n">
        <v>2390</v>
      </c>
      <c r="N474" s="6" t="n">
        <v>590</v>
      </c>
    </row>
    <row r="475" customFormat="false" ht="15" hidden="false" customHeight="true" outlineLevel="0" collapsed="false">
      <c r="A475" s="7" t="s">
        <v>571</v>
      </c>
      <c r="B475" s="8" t="n">
        <v>45247</v>
      </c>
      <c r="C475" s="7" t="s">
        <v>15</v>
      </c>
      <c r="D475" s="7" t="s">
        <v>16</v>
      </c>
      <c r="E475" s="7" t="s">
        <v>77</v>
      </c>
      <c r="F475" s="7" t="s">
        <v>129</v>
      </c>
      <c r="G475" s="9" t="s">
        <v>130</v>
      </c>
      <c r="H475" s="7" t="n">
        <v>10</v>
      </c>
      <c r="I475" s="10" t="n">
        <v>170</v>
      </c>
      <c r="J475" s="10" t="n">
        <v>120</v>
      </c>
      <c r="K475" s="7" t="n">
        <v>20</v>
      </c>
      <c r="L475" s="7" t="s">
        <v>26</v>
      </c>
      <c r="M475" s="10" t="n">
        <v>1700</v>
      </c>
      <c r="N475" s="10" t="n">
        <v>500</v>
      </c>
    </row>
    <row r="476" customFormat="false" ht="15" hidden="false" customHeight="true" outlineLevel="0" collapsed="false">
      <c r="A476" s="3" t="s">
        <v>572</v>
      </c>
      <c r="B476" s="4" t="n">
        <v>45248</v>
      </c>
      <c r="C476" s="3" t="s">
        <v>52</v>
      </c>
      <c r="D476" s="3" t="s">
        <v>29</v>
      </c>
      <c r="E476" s="3" t="s">
        <v>23</v>
      </c>
      <c r="F476" s="3" t="s">
        <v>49</v>
      </c>
      <c r="G476" s="5" t="s">
        <v>50</v>
      </c>
      <c r="H476" s="3" t="n">
        <v>9</v>
      </c>
      <c r="I476" s="6" t="n">
        <v>21378</v>
      </c>
      <c r="J476" s="6" t="n">
        <v>18000</v>
      </c>
      <c r="K476" s="3" t="n">
        <v>30</v>
      </c>
      <c r="L476" s="3" t="s">
        <v>20</v>
      </c>
      <c r="M476" s="6" t="n">
        <v>192402</v>
      </c>
      <c r="N476" s="6" t="n">
        <v>30402</v>
      </c>
    </row>
    <row r="477" customFormat="false" ht="15" hidden="false" customHeight="true" outlineLevel="0" collapsed="false">
      <c r="A477" s="7" t="s">
        <v>573</v>
      </c>
      <c r="B477" s="8" t="n">
        <v>45250</v>
      </c>
      <c r="C477" s="7" t="s">
        <v>28</v>
      </c>
      <c r="D477" s="7" t="s">
        <v>29</v>
      </c>
      <c r="E477" s="7" t="s">
        <v>39</v>
      </c>
      <c r="F477" s="7" t="s">
        <v>40</v>
      </c>
      <c r="G477" s="9" t="s">
        <v>41</v>
      </c>
      <c r="H477" s="7" t="n">
        <v>12</v>
      </c>
      <c r="I477" s="10" t="n">
        <v>110</v>
      </c>
      <c r="J477" s="10" t="n">
        <v>90</v>
      </c>
      <c r="K477" s="7" t="n">
        <v>26</v>
      </c>
      <c r="L477" s="7" t="s">
        <v>26</v>
      </c>
      <c r="M477" s="10" t="n">
        <v>1320</v>
      </c>
      <c r="N477" s="10" t="n">
        <v>240</v>
      </c>
    </row>
    <row r="478" customFormat="false" ht="15" hidden="false" customHeight="true" outlineLevel="0" collapsed="false">
      <c r="A478" s="3" t="s">
        <v>574</v>
      </c>
      <c r="B478" s="4" t="n">
        <v>45253</v>
      </c>
      <c r="C478" s="3" t="s">
        <v>58</v>
      </c>
      <c r="D478" s="3" t="s">
        <v>48</v>
      </c>
      <c r="E478" s="3" t="s">
        <v>39</v>
      </c>
      <c r="F478" s="3" t="s">
        <v>40</v>
      </c>
      <c r="G478" s="5" t="s">
        <v>41</v>
      </c>
      <c r="H478" s="3" t="n">
        <v>1</v>
      </c>
      <c r="I478" s="6" t="n">
        <v>109</v>
      </c>
      <c r="J478" s="6" t="n">
        <v>90</v>
      </c>
      <c r="K478" s="3" t="n">
        <v>3</v>
      </c>
      <c r="L478" s="3" t="s">
        <v>20</v>
      </c>
      <c r="M478" s="6" t="n">
        <v>109</v>
      </c>
      <c r="N478" s="6" t="n">
        <v>19</v>
      </c>
    </row>
    <row r="479" customFormat="false" ht="15" hidden="false" customHeight="true" outlineLevel="0" collapsed="false">
      <c r="A479" s="7" t="s">
        <v>575</v>
      </c>
      <c r="B479" s="8" t="n">
        <v>45254</v>
      </c>
      <c r="C479" s="7" t="s">
        <v>47</v>
      </c>
      <c r="D479" s="7" t="s">
        <v>48</v>
      </c>
      <c r="E479" s="7" t="s">
        <v>23</v>
      </c>
      <c r="F479" s="7" t="s">
        <v>49</v>
      </c>
      <c r="G479" s="9" t="s">
        <v>50</v>
      </c>
      <c r="H479" s="7" t="n">
        <v>4</v>
      </c>
      <c r="I479" s="10" t="n">
        <v>22490</v>
      </c>
      <c r="J479" s="10" t="n">
        <v>18000</v>
      </c>
      <c r="K479" s="7" t="n">
        <v>14</v>
      </c>
      <c r="L479" s="7" t="s">
        <v>20</v>
      </c>
      <c r="M479" s="10" t="n">
        <v>89960</v>
      </c>
      <c r="N479" s="10" t="n">
        <v>17960</v>
      </c>
    </row>
    <row r="480" customFormat="false" ht="15" hidden="false" customHeight="true" outlineLevel="0" collapsed="false">
      <c r="A480" s="3" t="s">
        <v>576</v>
      </c>
      <c r="B480" s="4" t="n">
        <v>45254</v>
      </c>
      <c r="C480" s="3" t="s">
        <v>34</v>
      </c>
      <c r="D480" s="3" t="s">
        <v>35</v>
      </c>
      <c r="E480" s="3" t="s">
        <v>77</v>
      </c>
      <c r="F480" s="3" t="s">
        <v>180</v>
      </c>
      <c r="G480" s="5" t="s">
        <v>181</v>
      </c>
      <c r="H480" s="3" t="n">
        <v>15</v>
      </c>
      <c r="I480" s="6" t="n">
        <v>260</v>
      </c>
      <c r="J480" s="6" t="n">
        <v>180</v>
      </c>
      <c r="K480" s="3" t="n">
        <v>3</v>
      </c>
      <c r="L480" s="3" t="s">
        <v>26</v>
      </c>
      <c r="M480" s="6" t="n">
        <v>3900</v>
      </c>
      <c r="N480" s="6" t="n">
        <v>1200</v>
      </c>
    </row>
    <row r="481" customFormat="false" ht="15" hidden="false" customHeight="true" outlineLevel="0" collapsed="false">
      <c r="A481" s="7" t="s">
        <v>577</v>
      </c>
      <c r="B481" s="8" t="n">
        <v>45254</v>
      </c>
      <c r="C481" s="7" t="s">
        <v>28</v>
      </c>
      <c r="D481" s="7" t="s">
        <v>29</v>
      </c>
      <c r="E481" s="7" t="s">
        <v>62</v>
      </c>
      <c r="F481" s="7" t="s">
        <v>103</v>
      </c>
      <c r="G481" s="9" t="s">
        <v>104</v>
      </c>
      <c r="H481" s="7" t="n">
        <v>11</v>
      </c>
      <c r="I481" s="10" t="n">
        <v>117</v>
      </c>
      <c r="J481" s="10" t="n">
        <v>90</v>
      </c>
      <c r="K481" s="7" t="n">
        <v>36</v>
      </c>
      <c r="L481" s="7" t="s">
        <v>20</v>
      </c>
      <c r="M481" s="10" t="n">
        <v>1287</v>
      </c>
      <c r="N481" s="10" t="n">
        <v>297</v>
      </c>
    </row>
    <row r="482" customFormat="false" ht="15" hidden="false" customHeight="true" outlineLevel="0" collapsed="false">
      <c r="A482" s="3" t="s">
        <v>578</v>
      </c>
      <c r="B482" s="4" t="n">
        <v>45255</v>
      </c>
      <c r="C482" s="3" t="s">
        <v>52</v>
      </c>
      <c r="D482" s="3" t="s">
        <v>29</v>
      </c>
      <c r="E482" s="3" t="s">
        <v>23</v>
      </c>
      <c r="F482" s="3" t="s">
        <v>49</v>
      </c>
      <c r="G482" s="5" t="s">
        <v>50</v>
      </c>
      <c r="H482" s="3" t="n">
        <v>14</v>
      </c>
      <c r="I482" s="6" t="n">
        <v>22648</v>
      </c>
      <c r="J482" s="6" t="n">
        <v>18000</v>
      </c>
      <c r="K482" s="3" t="n">
        <v>24</v>
      </c>
      <c r="L482" s="3" t="s">
        <v>26</v>
      </c>
      <c r="M482" s="6" t="n">
        <v>317072</v>
      </c>
      <c r="N482" s="6" t="n">
        <v>65072</v>
      </c>
    </row>
    <row r="483" customFormat="false" ht="15" hidden="false" customHeight="true" outlineLevel="0" collapsed="false">
      <c r="A483" s="7" t="s">
        <v>579</v>
      </c>
      <c r="B483" s="8" t="n">
        <v>45256</v>
      </c>
      <c r="C483" s="7" t="s">
        <v>111</v>
      </c>
      <c r="D483" s="7" t="s">
        <v>29</v>
      </c>
      <c r="E483" s="7" t="s">
        <v>39</v>
      </c>
      <c r="F483" s="7" t="s">
        <v>40</v>
      </c>
      <c r="G483" s="9" t="s">
        <v>41</v>
      </c>
      <c r="H483" s="7" t="n">
        <v>2</v>
      </c>
      <c r="I483" s="10" t="n">
        <v>109</v>
      </c>
      <c r="J483" s="10" t="n">
        <v>90</v>
      </c>
      <c r="K483" s="7" t="n">
        <v>3</v>
      </c>
      <c r="L483" s="7" t="s">
        <v>20</v>
      </c>
      <c r="M483" s="10" t="n">
        <v>218</v>
      </c>
      <c r="N483" s="10" t="n">
        <v>38</v>
      </c>
    </row>
    <row r="484" customFormat="false" ht="15" hidden="false" customHeight="true" outlineLevel="0" collapsed="false">
      <c r="A484" s="3" t="s">
        <v>580</v>
      </c>
      <c r="B484" s="4" t="n">
        <v>45257</v>
      </c>
      <c r="C484" s="3" t="s">
        <v>111</v>
      </c>
      <c r="D484" s="3" t="s">
        <v>29</v>
      </c>
      <c r="E484" s="3" t="s">
        <v>39</v>
      </c>
      <c r="F484" s="3" t="s">
        <v>143</v>
      </c>
      <c r="G484" s="5" t="s">
        <v>144</v>
      </c>
      <c r="H484" s="3" t="n">
        <v>11</v>
      </c>
      <c r="I484" s="6" t="n">
        <v>316</v>
      </c>
      <c r="J484" s="6" t="n">
        <v>280</v>
      </c>
      <c r="K484" s="3" t="n">
        <v>29</v>
      </c>
      <c r="L484" s="3" t="s">
        <v>26</v>
      </c>
      <c r="M484" s="6" t="n">
        <v>3476</v>
      </c>
      <c r="N484" s="6" t="n">
        <v>396</v>
      </c>
    </row>
    <row r="485" customFormat="false" ht="15" hidden="false" customHeight="true" outlineLevel="0" collapsed="false">
      <c r="A485" s="7" t="s">
        <v>581</v>
      </c>
      <c r="B485" s="8" t="n">
        <v>45260</v>
      </c>
      <c r="C485" s="7" t="s">
        <v>47</v>
      </c>
      <c r="D485" s="7" t="s">
        <v>48</v>
      </c>
      <c r="E485" s="7" t="s">
        <v>30</v>
      </c>
      <c r="F485" s="7" t="s">
        <v>126</v>
      </c>
      <c r="G485" s="9" t="s">
        <v>127</v>
      </c>
      <c r="H485" s="7" t="n">
        <v>7</v>
      </c>
      <c r="I485" s="10" t="n">
        <v>567</v>
      </c>
      <c r="J485" s="10" t="n">
        <v>400</v>
      </c>
      <c r="K485" s="7" t="n">
        <v>7</v>
      </c>
      <c r="L485" s="7" t="s">
        <v>26</v>
      </c>
      <c r="M485" s="10" t="n">
        <v>3969</v>
      </c>
      <c r="N485" s="10" t="n">
        <v>1169</v>
      </c>
    </row>
    <row r="486" customFormat="false" ht="15" hidden="false" customHeight="true" outlineLevel="0" collapsed="false">
      <c r="A486" s="3" t="s">
        <v>582</v>
      </c>
      <c r="B486" s="4" t="n">
        <v>45262</v>
      </c>
      <c r="C486" s="3" t="s">
        <v>47</v>
      </c>
      <c r="D486" s="3" t="s">
        <v>48</v>
      </c>
      <c r="E486" s="3" t="s">
        <v>77</v>
      </c>
      <c r="F486" s="3" t="s">
        <v>78</v>
      </c>
      <c r="G486" s="5" t="s">
        <v>79</v>
      </c>
      <c r="H486" s="3" t="n">
        <v>1</v>
      </c>
      <c r="I486" s="6" t="n">
        <v>1288</v>
      </c>
      <c r="J486" s="6" t="n">
        <v>900</v>
      </c>
      <c r="K486" s="3" t="n">
        <v>10</v>
      </c>
      <c r="L486" s="3" t="s">
        <v>26</v>
      </c>
      <c r="M486" s="6" t="n">
        <v>1288</v>
      </c>
      <c r="N486" s="6" t="n">
        <v>388</v>
      </c>
    </row>
    <row r="487" customFormat="false" ht="15" hidden="false" customHeight="true" outlineLevel="0" collapsed="false">
      <c r="A487" s="7" t="s">
        <v>583</v>
      </c>
      <c r="B487" s="8" t="n">
        <v>45262</v>
      </c>
      <c r="C487" s="7" t="s">
        <v>94</v>
      </c>
      <c r="D487" s="7" t="s">
        <v>48</v>
      </c>
      <c r="E487" s="7" t="s">
        <v>77</v>
      </c>
      <c r="F487" s="7" t="s">
        <v>78</v>
      </c>
      <c r="G487" s="9" t="s">
        <v>79</v>
      </c>
      <c r="H487" s="7" t="n">
        <v>7</v>
      </c>
      <c r="I487" s="10" t="n">
        <v>1202</v>
      </c>
      <c r="J487" s="10" t="n">
        <v>900</v>
      </c>
      <c r="K487" s="7" t="n">
        <v>0</v>
      </c>
      <c r="L487" s="7" t="s">
        <v>20</v>
      </c>
      <c r="M487" s="10" t="n">
        <v>8414</v>
      </c>
      <c r="N487" s="10" t="n">
        <v>2114</v>
      </c>
    </row>
    <row r="488" customFormat="false" ht="15" hidden="false" customHeight="true" outlineLevel="0" collapsed="false">
      <c r="A488" s="3" t="s">
        <v>584</v>
      </c>
      <c r="B488" s="4" t="n">
        <v>45264</v>
      </c>
      <c r="C488" s="3" t="s">
        <v>94</v>
      </c>
      <c r="D488" s="3" t="s">
        <v>48</v>
      </c>
      <c r="E488" s="3" t="s">
        <v>39</v>
      </c>
      <c r="F488" s="3" t="s">
        <v>161</v>
      </c>
      <c r="G488" s="5" t="s">
        <v>162</v>
      </c>
      <c r="H488" s="3" t="n">
        <v>14</v>
      </c>
      <c r="I488" s="6" t="n">
        <v>393</v>
      </c>
      <c r="J488" s="6" t="n">
        <v>350</v>
      </c>
      <c r="K488" s="3" t="n">
        <v>0</v>
      </c>
      <c r="L488" s="3" t="s">
        <v>20</v>
      </c>
      <c r="M488" s="6" t="n">
        <v>5502</v>
      </c>
      <c r="N488" s="6" t="n">
        <v>602</v>
      </c>
    </row>
    <row r="489" customFormat="false" ht="15" hidden="false" customHeight="true" outlineLevel="0" collapsed="false">
      <c r="A489" s="7" t="s">
        <v>585</v>
      </c>
      <c r="B489" s="8" t="n">
        <v>45265</v>
      </c>
      <c r="C489" s="7" t="s">
        <v>94</v>
      </c>
      <c r="D489" s="7" t="s">
        <v>48</v>
      </c>
      <c r="E489" s="7" t="s">
        <v>30</v>
      </c>
      <c r="F489" s="7" t="s">
        <v>31</v>
      </c>
      <c r="G489" s="9" t="s">
        <v>32</v>
      </c>
      <c r="H489" s="7" t="n">
        <v>7</v>
      </c>
      <c r="I489" s="10" t="n">
        <v>1664</v>
      </c>
      <c r="J489" s="10" t="n">
        <v>1200</v>
      </c>
      <c r="K489" s="7" t="n">
        <v>32</v>
      </c>
      <c r="L489" s="7" t="s">
        <v>26</v>
      </c>
      <c r="M489" s="10" t="n">
        <v>11648</v>
      </c>
      <c r="N489" s="10" t="n">
        <v>3248</v>
      </c>
    </row>
    <row r="490" customFormat="false" ht="15" hidden="false" customHeight="true" outlineLevel="0" collapsed="false">
      <c r="A490" s="3" t="s">
        <v>586</v>
      </c>
      <c r="B490" s="4" t="n">
        <v>45266</v>
      </c>
      <c r="C490" s="3" t="s">
        <v>15</v>
      </c>
      <c r="D490" s="3" t="s">
        <v>16</v>
      </c>
      <c r="E490" s="3" t="s">
        <v>39</v>
      </c>
      <c r="F490" s="3" t="s">
        <v>161</v>
      </c>
      <c r="G490" s="5" t="s">
        <v>162</v>
      </c>
      <c r="H490" s="3" t="n">
        <v>7</v>
      </c>
      <c r="I490" s="6" t="n">
        <v>420</v>
      </c>
      <c r="J490" s="6" t="n">
        <v>350</v>
      </c>
      <c r="K490" s="3" t="n">
        <v>25</v>
      </c>
      <c r="L490" s="3" t="s">
        <v>20</v>
      </c>
      <c r="M490" s="6" t="n">
        <v>2940</v>
      </c>
      <c r="N490" s="6" t="n">
        <v>490</v>
      </c>
    </row>
    <row r="491" customFormat="false" ht="15" hidden="false" customHeight="true" outlineLevel="0" collapsed="false">
      <c r="A491" s="7" t="s">
        <v>587</v>
      </c>
      <c r="B491" s="8" t="n">
        <v>45269</v>
      </c>
      <c r="C491" s="7" t="s">
        <v>94</v>
      </c>
      <c r="D491" s="7" t="s">
        <v>48</v>
      </c>
      <c r="E491" s="7" t="s">
        <v>77</v>
      </c>
      <c r="F491" s="7" t="s">
        <v>81</v>
      </c>
      <c r="G491" s="9" t="s">
        <v>82</v>
      </c>
      <c r="H491" s="7" t="n">
        <v>8</v>
      </c>
      <c r="I491" s="10" t="n">
        <v>802</v>
      </c>
      <c r="J491" s="10" t="n">
        <v>600</v>
      </c>
      <c r="K491" s="7" t="n">
        <v>3</v>
      </c>
      <c r="L491" s="7" t="s">
        <v>26</v>
      </c>
      <c r="M491" s="10" t="n">
        <v>6416</v>
      </c>
      <c r="N491" s="10" t="n">
        <v>1616</v>
      </c>
    </row>
    <row r="492" customFormat="false" ht="15" hidden="false" customHeight="true" outlineLevel="0" collapsed="false">
      <c r="A492" s="3" t="s">
        <v>588</v>
      </c>
      <c r="B492" s="4" t="n">
        <v>45269</v>
      </c>
      <c r="C492" s="3" t="s">
        <v>34</v>
      </c>
      <c r="D492" s="3" t="s">
        <v>35</v>
      </c>
      <c r="E492" s="3" t="s">
        <v>39</v>
      </c>
      <c r="F492" s="3" t="s">
        <v>143</v>
      </c>
      <c r="G492" s="5" t="s">
        <v>144</v>
      </c>
      <c r="H492" s="3" t="n">
        <v>10</v>
      </c>
      <c r="I492" s="6" t="n">
        <v>322</v>
      </c>
      <c r="J492" s="6" t="n">
        <v>280</v>
      </c>
      <c r="K492" s="3" t="n">
        <v>44</v>
      </c>
      <c r="L492" s="3" t="s">
        <v>26</v>
      </c>
      <c r="M492" s="6" t="n">
        <v>3220</v>
      </c>
      <c r="N492" s="6" t="n">
        <v>420</v>
      </c>
    </row>
    <row r="493" customFormat="false" ht="15" hidden="false" customHeight="true" outlineLevel="0" collapsed="false">
      <c r="A493" s="7" t="s">
        <v>589</v>
      </c>
      <c r="B493" s="8" t="n">
        <v>45272</v>
      </c>
      <c r="C493" s="7" t="s">
        <v>94</v>
      </c>
      <c r="D493" s="7" t="s">
        <v>48</v>
      </c>
      <c r="E493" s="7" t="s">
        <v>23</v>
      </c>
      <c r="F493" s="7" t="s">
        <v>204</v>
      </c>
      <c r="G493" s="9" t="s">
        <v>205</v>
      </c>
      <c r="H493" s="7" t="n">
        <v>4</v>
      </c>
      <c r="I493" s="10" t="n">
        <v>2155</v>
      </c>
      <c r="J493" s="10" t="n">
        <v>1800</v>
      </c>
      <c r="K493" s="7" t="n">
        <v>3</v>
      </c>
      <c r="L493" s="7" t="s">
        <v>26</v>
      </c>
      <c r="M493" s="10" t="n">
        <v>8620</v>
      </c>
      <c r="N493" s="10" t="n">
        <v>1420</v>
      </c>
    </row>
    <row r="494" customFormat="false" ht="15" hidden="false" customHeight="true" outlineLevel="0" collapsed="false">
      <c r="A494" s="3" t="s">
        <v>590</v>
      </c>
      <c r="B494" s="4" t="n">
        <v>45275</v>
      </c>
      <c r="C494" s="3" t="s">
        <v>111</v>
      </c>
      <c r="D494" s="3" t="s">
        <v>29</v>
      </c>
      <c r="E494" s="3" t="s">
        <v>23</v>
      </c>
      <c r="F494" s="3" t="s">
        <v>204</v>
      </c>
      <c r="G494" s="5" t="s">
        <v>205</v>
      </c>
      <c r="H494" s="3" t="n">
        <v>7</v>
      </c>
      <c r="I494" s="6" t="n">
        <v>2169</v>
      </c>
      <c r="J494" s="6" t="n">
        <v>1800</v>
      </c>
      <c r="K494" s="3" t="n">
        <v>35</v>
      </c>
      <c r="L494" s="3" t="s">
        <v>20</v>
      </c>
      <c r="M494" s="6" t="n">
        <v>15183</v>
      </c>
      <c r="N494" s="6" t="n">
        <v>2583</v>
      </c>
    </row>
    <row r="495" customFormat="false" ht="15" hidden="false" customHeight="true" outlineLevel="0" collapsed="false">
      <c r="A495" s="7" t="s">
        <v>591</v>
      </c>
      <c r="B495" s="8" t="n">
        <v>45279</v>
      </c>
      <c r="C495" s="7" t="s">
        <v>34</v>
      </c>
      <c r="D495" s="7" t="s">
        <v>35</v>
      </c>
      <c r="E495" s="7" t="s">
        <v>62</v>
      </c>
      <c r="F495" s="7" t="s">
        <v>63</v>
      </c>
      <c r="G495" s="9" t="s">
        <v>64</v>
      </c>
      <c r="H495" s="7" t="n">
        <v>12</v>
      </c>
      <c r="I495" s="10" t="n">
        <v>83</v>
      </c>
      <c r="J495" s="10" t="n">
        <v>60</v>
      </c>
      <c r="K495" s="7" t="n">
        <v>0</v>
      </c>
      <c r="L495" s="7" t="s">
        <v>26</v>
      </c>
      <c r="M495" s="10" t="n">
        <v>996</v>
      </c>
      <c r="N495" s="10" t="n">
        <v>276</v>
      </c>
    </row>
    <row r="496" customFormat="false" ht="15" hidden="false" customHeight="true" outlineLevel="0" collapsed="false">
      <c r="A496" s="3" t="s">
        <v>592</v>
      </c>
      <c r="B496" s="4" t="n">
        <v>45280</v>
      </c>
      <c r="C496" s="3" t="s">
        <v>136</v>
      </c>
      <c r="D496" s="3" t="s">
        <v>35</v>
      </c>
      <c r="E496" s="3" t="s">
        <v>17</v>
      </c>
      <c r="F496" s="3" t="s">
        <v>59</v>
      </c>
      <c r="G496" s="5" t="s">
        <v>60</v>
      </c>
      <c r="H496" s="3" t="n">
        <v>8</v>
      </c>
      <c r="I496" s="6" t="n">
        <v>393</v>
      </c>
      <c r="J496" s="6" t="n">
        <v>280</v>
      </c>
      <c r="K496" s="3" t="n">
        <v>44</v>
      </c>
      <c r="L496" s="3" t="s">
        <v>26</v>
      </c>
      <c r="M496" s="6" t="n">
        <v>3144</v>
      </c>
      <c r="N496" s="6" t="n">
        <v>904</v>
      </c>
    </row>
    <row r="497" customFormat="false" ht="15" hidden="false" customHeight="true" outlineLevel="0" collapsed="false">
      <c r="A497" s="7" t="s">
        <v>593</v>
      </c>
      <c r="B497" s="8" t="n">
        <v>45282</v>
      </c>
      <c r="C497" s="7" t="s">
        <v>43</v>
      </c>
      <c r="D497" s="7" t="s">
        <v>16</v>
      </c>
      <c r="E497" s="7" t="s">
        <v>17</v>
      </c>
      <c r="F497" s="7" t="s">
        <v>59</v>
      </c>
      <c r="G497" s="9" t="s">
        <v>60</v>
      </c>
      <c r="H497" s="7" t="n">
        <v>9</v>
      </c>
      <c r="I497" s="10" t="n">
        <v>388</v>
      </c>
      <c r="J497" s="10" t="n">
        <v>280</v>
      </c>
      <c r="K497" s="7" t="n">
        <v>22</v>
      </c>
      <c r="L497" s="7" t="s">
        <v>26</v>
      </c>
      <c r="M497" s="10" t="n">
        <v>3492</v>
      </c>
      <c r="N497" s="10" t="n">
        <v>972</v>
      </c>
    </row>
    <row r="498" customFormat="false" ht="15" hidden="false" customHeight="true" outlineLevel="0" collapsed="false">
      <c r="A498" s="3" t="s">
        <v>594</v>
      </c>
      <c r="B498" s="4" t="n">
        <v>45282</v>
      </c>
      <c r="C498" s="3" t="s">
        <v>15</v>
      </c>
      <c r="D498" s="3" t="s">
        <v>16</v>
      </c>
      <c r="E498" s="3" t="s">
        <v>30</v>
      </c>
      <c r="F498" s="3" t="s">
        <v>126</v>
      </c>
      <c r="G498" s="5" t="s">
        <v>127</v>
      </c>
      <c r="H498" s="3" t="n">
        <v>10</v>
      </c>
      <c r="I498" s="6" t="n">
        <v>555</v>
      </c>
      <c r="J498" s="6" t="n">
        <v>400</v>
      </c>
      <c r="K498" s="3" t="n">
        <v>34</v>
      </c>
      <c r="L498" s="3" t="s">
        <v>26</v>
      </c>
      <c r="M498" s="6" t="n">
        <v>5550</v>
      </c>
      <c r="N498" s="6" t="n">
        <v>1550</v>
      </c>
    </row>
    <row r="499" customFormat="false" ht="15" hidden="false" customHeight="true" outlineLevel="0" collapsed="false">
      <c r="A499" s="7" t="s">
        <v>595</v>
      </c>
      <c r="B499" s="8" t="n">
        <v>45282</v>
      </c>
      <c r="C499" s="7" t="s">
        <v>15</v>
      </c>
      <c r="D499" s="7" t="s">
        <v>16</v>
      </c>
      <c r="E499" s="7" t="s">
        <v>30</v>
      </c>
      <c r="F499" s="7" t="s">
        <v>126</v>
      </c>
      <c r="G499" s="9" t="s">
        <v>127</v>
      </c>
      <c r="H499" s="7" t="n">
        <v>2</v>
      </c>
      <c r="I499" s="10" t="n">
        <v>607</v>
      </c>
      <c r="J499" s="10" t="n">
        <v>400</v>
      </c>
      <c r="K499" s="7" t="n">
        <v>21</v>
      </c>
      <c r="L499" s="7" t="s">
        <v>26</v>
      </c>
      <c r="M499" s="10" t="n">
        <v>1214</v>
      </c>
      <c r="N499" s="10" t="n">
        <v>414</v>
      </c>
    </row>
    <row r="500" customFormat="false" ht="15" hidden="false" customHeight="true" outlineLevel="0" collapsed="false">
      <c r="A500" s="3" t="s">
        <v>596</v>
      </c>
      <c r="B500" s="4" t="n">
        <v>45283</v>
      </c>
      <c r="C500" s="3" t="s">
        <v>15</v>
      </c>
      <c r="D500" s="3" t="s">
        <v>16</v>
      </c>
      <c r="E500" s="3" t="s">
        <v>77</v>
      </c>
      <c r="F500" s="3" t="s">
        <v>129</v>
      </c>
      <c r="G500" s="5" t="s">
        <v>130</v>
      </c>
      <c r="H500" s="3" t="n">
        <v>8</v>
      </c>
      <c r="I500" s="6" t="n">
        <v>172</v>
      </c>
      <c r="J500" s="6" t="n">
        <v>120</v>
      </c>
      <c r="K500" s="3" t="n">
        <v>33</v>
      </c>
      <c r="L500" s="3" t="s">
        <v>26</v>
      </c>
      <c r="M500" s="6" t="n">
        <v>1376</v>
      </c>
      <c r="N500" s="6" t="n">
        <v>416</v>
      </c>
    </row>
    <row r="501" customFormat="false" ht="15" hidden="false" customHeight="true" outlineLevel="0" collapsed="false">
      <c r="A501" s="7" t="s">
        <v>597</v>
      </c>
      <c r="B501" s="8" t="n">
        <v>45288</v>
      </c>
      <c r="C501" s="7" t="s">
        <v>28</v>
      </c>
      <c r="D501" s="7" t="s">
        <v>29</v>
      </c>
      <c r="E501" s="7" t="s">
        <v>39</v>
      </c>
      <c r="F501" s="7" t="s">
        <v>40</v>
      </c>
      <c r="G501" s="9" t="s">
        <v>41</v>
      </c>
      <c r="H501" s="7" t="n">
        <v>14</v>
      </c>
      <c r="I501" s="10" t="n">
        <v>103</v>
      </c>
      <c r="J501" s="10" t="n">
        <v>90</v>
      </c>
      <c r="K501" s="7" t="n">
        <v>6</v>
      </c>
      <c r="L501" s="7" t="s">
        <v>26</v>
      </c>
      <c r="M501" s="10" t="n">
        <v>1442</v>
      </c>
      <c r="N501" s="10" t="n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6"/>
    <col collapsed="false" customWidth="true" hidden="false" outlineLevel="0" max="8" min="8" style="1" width="14"/>
    <col collapsed="false" customWidth="true" hidden="false" outlineLevel="0" max="10" min="9" style="1" width="12"/>
    <col collapsed="false" customWidth="true" hidden="false" outlineLevel="0" max="11" min="11" style="1" width="16"/>
    <col collapsed="false" customWidth="true" hidden="false" outlineLevel="0" max="13" min="12" style="1" width="14"/>
    <col collapsed="false" customWidth="true" hidden="false" outlineLevel="0" max="14" min="14" style="1" width="12"/>
    <col collapsed="false" customWidth="true" hidden="false" outlineLevel="0" max="15" min="15" style="1" width="10"/>
    <col collapsed="false" customWidth="true" hidden="false" outlineLevel="0" max="16" min="16" style="1" width="8"/>
    <col collapsed="false" customWidth="true" hidden="false" outlineLevel="0" max="17" min="17" style="1" width="10"/>
    <col collapsed="false" customWidth="true" hidden="false" outlineLevel="0" max="18" min="18" style="1" width="14"/>
  </cols>
  <sheetData>
    <row r="1" customFormat="false" ht="21.75" hidden="false" customHeight="tru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598</v>
      </c>
      <c r="P1" s="11" t="s">
        <v>599</v>
      </c>
      <c r="Q1" s="11" t="s">
        <v>600</v>
      </c>
      <c r="R1" s="11" t="s">
        <v>601</v>
      </c>
    </row>
    <row r="2" customFormat="false" ht="15" hidden="false" customHeight="true" outlineLevel="0" collapsed="false">
      <c r="A2" s="3" t="s">
        <v>14</v>
      </c>
      <c r="B2" s="4" t="n">
        <v>44563</v>
      </c>
      <c r="C2" s="3" t="s">
        <v>15</v>
      </c>
      <c r="D2" s="3" t="s">
        <v>16</v>
      </c>
      <c r="E2" s="3" t="s">
        <v>17</v>
      </c>
      <c r="F2" s="3" t="s">
        <v>18</v>
      </c>
      <c r="G2" s="5" t="s">
        <v>19</v>
      </c>
      <c r="H2" s="3" t="n">
        <v>6</v>
      </c>
      <c r="I2" s="6" t="n">
        <v>1237</v>
      </c>
      <c r="J2" s="6" t="n">
        <v>900</v>
      </c>
      <c r="K2" s="3" t="n">
        <v>31</v>
      </c>
      <c r="L2" s="3" t="s">
        <v>20</v>
      </c>
      <c r="M2" s="6" t="n">
        <v>7422</v>
      </c>
      <c r="N2" s="6" t="n">
        <v>2022</v>
      </c>
      <c r="O2" s="12" t="n">
        <f aca="false">N2/M2</f>
        <v>0.272433306386419</v>
      </c>
      <c r="P2" s="13" t="n">
        <f aca="false">YEAR(B2)</f>
        <v>2022</v>
      </c>
      <c r="Q2" s="13" t="str">
        <f aca="false">"Q"&amp;ROUNDUP(MONTH(B2)/3,0)</f>
        <v>Q1</v>
      </c>
      <c r="R2" s="13" t="str">
        <f aca="false">TEXT(B2,"MMM-YYYY")</f>
        <v>Jan-2022</v>
      </c>
    </row>
    <row r="3" customFormat="false" ht="15" hidden="false" customHeight="true" outlineLevel="0" collapsed="false">
      <c r="A3" s="7" t="s">
        <v>21</v>
      </c>
      <c r="B3" s="8" t="n">
        <v>44565</v>
      </c>
      <c r="C3" s="7" t="s">
        <v>22</v>
      </c>
      <c r="D3" s="7" t="s">
        <v>16</v>
      </c>
      <c r="E3" s="7" t="s">
        <v>23</v>
      </c>
      <c r="F3" s="7" t="s">
        <v>24</v>
      </c>
      <c r="G3" s="9" t="s">
        <v>25</v>
      </c>
      <c r="H3" s="7" t="n">
        <v>14</v>
      </c>
      <c r="I3" s="10" t="n">
        <v>430</v>
      </c>
      <c r="J3" s="10" t="n">
        <v>350</v>
      </c>
      <c r="K3" s="7" t="n">
        <v>4</v>
      </c>
      <c r="L3" s="7" t="s">
        <v>26</v>
      </c>
      <c r="M3" s="10" t="n">
        <v>6020</v>
      </c>
      <c r="N3" s="10" t="n">
        <v>1120</v>
      </c>
      <c r="O3" s="14" t="n">
        <f aca="false">N3/M3</f>
        <v>0.186046511627907</v>
      </c>
      <c r="P3" s="15" t="n">
        <f aca="false">YEAR(B3)</f>
        <v>2022</v>
      </c>
      <c r="Q3" s="15" t="str">
        <f aca="false">"Q"&amp;ROUNDUP(MONTH(B3)/3,0)</f>
        <v>Q1</v>
      </c>
      <c r="R3" s="15" t="str">
        <f aca="false">TEXT(B3,"MMM-YYYY")</f>
        <v>Jan-2022</v>
      </c>
    </row>
    <row r="4" customFormat="false" ht="15" hidden="false" customHeight="true" outlineLevel="0" collapsed="false">
      <c r="A4" s="3" t="s">
        <v>27</v>
      </c>
      <c r="B4" s="4" t="n">
        <v>44568</v>
      </c>
      <c r="C4" s="3" t="s">
        <v>28</v>
      </c>
      <c r="D4" s="3" t="s">
        <v>29</v>
      </c>
      <c r="E4" s="3" t="s">
        <v>30</v>
      </c>
      <c r="F4" s="3" t="s">
        <v>31</v>
      </c>
      <c r="G4" s="5" t="s">
        <v>32</v>
      </c>
      <c r="H4" s="3" t="n">
        <v>8</v>
      </c>
      <c r="I4" s="6" t="n">
        <v>1726</v>
      </c>
      <c r="J4" s="6" t="n">
        <v>1200</v>
      </c>
      <c r="K4" s="3" t="n">
        <v>23</v>
      </c>
      <c r="L4" s="3" t="s">
        <v>26</v>
      </c>
      <c r="M4" s="6" t="n">
        <v>13808</v>
      </c>
      <c r="N4" s="6" t="n">
        <v>4208</v>
      </c>
      <c r="O4" s="12" t="n">
        <f aca="false">N4/M4</f>
        <v>0.304750869061414</v>
      </c>
      <c r="P4" s="13" t="n">
        <f aca="false">YEAR(B4)</f>
        <v>2022</v>
      </c>
      <c r="Q4" s="13" t="str">
        <f aca="false">"Q"&amp;ROUNDUP(MONTH(B4)/3,0)</f>
        <v>Q1</v>
      </c>
      <c r="R4" s="13" t="str">
        <f aca="false">TEXT(B4,"MMM-YYYY")</f>
        <v>Jan-2022</v>
      </c>
    </row>
    <row r="5" customFormat="false" ht="15" hidden="false" customHeight="true" outlineLevel="0" collapsed="false">
      <c r="A5" s="7" t="s">
        <v>33</v>
      </c>
      <c r="B5" s="8" t="n">
        <v>44569</v>
      </c>
      <c r="C5" s="7" t="s">
        <v>34</v>
      </c>
      <c r="D5" s="7" t="s">
        <v>35</v>
      </c>
      <c r="E5" s="7" t="s">
        <v>30</v>
      </c>
      <c r="F5" s="7" t="s">
        <v>36</v>
      </c>
      <c r="G5" s="9" t="s">
        <v>37</v>
      </c>
      <c r="H5" s="7" t="n">
        <v>10</v>
      </c>
      <c r="I5" s="10" t="n">
        <v>642</v>
      </c>
      <c r="J5" s="10" t="n">
        <v>450</v>
      </c>
      <c r="K5" s="7" t="n">
        <v>20</v>
      </c>
      <c r="L5" s="7" t="s">
        <v>26</v>
      </c>
      <c r="M5" s="10" t="n">
        <v>6420</v>
      </c>
      <c r="N5" s="10" t="n">
        <v>1920</v>
      </c>
      <c r="O5" s="14" t="n">
        <f aca="false">N5/M5</f>
        <v>0.299065420560748</v>
      </c>
      <c r="P5" s="15" t="n">
        <f aca="false">YEAR(B5)</f>
        <v>2022</v>
      </c>
      <c r="Q5" s="15" t="str">
        <f aca="false">"Q"&amp;ROUNDUP(MONTH(B5)/3,0)</f>
        <v>Q1</v>
      </c>
      <c r="R5" s="15" t="str">
        <f aca="false">TEXT(B5,"MMM-YYYY")</f>
        <v>Jan-2022</v>
      </c>
    </row>
    <row r="6" customFormat="false" ht="15" hidden="false" customHeight="true" outlineLevel="0" collapsed="false">
      <c r="A6" s="3" t="s">
        <v>38</v>
      </c>
      <c r="B6" s="4" t="n">
        <v>44569</v>
      </c>
      <c r="C6" s="3" t="s">
        <v>34</v>
      </c>
      <c r="D6" s="3" t="s">
        <v>35</v>
      </c>
      <c r="E6" s="3" t="s">
        <v>39</v>
      </c>
      <c r="F6" s="3" t="s">
        <v>40</v>
      </c>
      <c r="G6" s="5" t="s">
        <v>41</v>
      </c>
      <c r="H6" s="3" t="n">
        <v>13</v>
      </c>
      <c r="I6" s="6" t="n">
        <v>109</v>
      </c>
      <c r="J6" s="6" t="n">
        <v>90</v>
      </c>
      <c r="K6" s="3" t="n">
        <v>24</v>
      </c>
      <c r="L6" s="3" t="s">
        <v>26</v>
      </c>
      <c r="M6" s="6" t="n">
        <v>1417</v>
      </c>
      <c r="N6" s="6" t="n">
        <v>247</v>
      </c>
      <c r="O6" s="12" t="n">
        <f aca="false">N6/M6</f>
        <v>0.174311926605505</v>
      </c>
      <c r="P6" s="13" t="n">
        <f aca="false">YEAR(B6)</f>
        <v>2022</v>
      </c>
      <c r="Q6" s="13" t="str">
        <f aca="false">"Q"&amp;ROUNDUP(MONTH(B6)/3,0)</f>
        <v>Q1</v>
      </c>
      <c r="R6" s="13" t="str">
        <f aca="false">TEXT(B6,"MMM-YYYY")</f>
        <v>Jan-2022</v>
      </c>
    </row>
    <row r="7" customFormat="false" ht="15" hidden="false" customHeight="true" outlineLevel="0" collapsed="false">
      <c r="A7" s="7" t="s">
        <v>42</v>
      </c>
      <c r="B7" s="8" t="n">
        <v>44570</v>
      </c>
      <c r="C7" s="7" t="s">
        <v>43</v>
      </c>
      <c r="D7" s="7" t="s">
        <v>16</v>
      </c>
      <c r="E7" s="7" t="s">
        <v>17</v>
      </c>
      <c r="F7" s="7" t="s">
        <v>44</v>
      </c>
      <c r="G7" s="9" t="s">
        <v>45</v>
      </c>
      <c r="H7" s="7" t="n">
        <v>11</v>
      </c>
      <c r="I7" s="10" t="n">
        <v>355</v>
      </c>
      <c r="J7" s="10" t="n">
        <v>250</v>
      </c>
      <c r="K7" s="7" t="n">
        <v>10</v>
      </c>
      <c r="L7" s="7" t="s">
        <v>20</v>
      </c>
      <c r="M7" s="10" t="n">
        <v>3905</v>
      </c>
      <c r="N7" s="10" t="n">
        <v>1155</v>
      </c>
      <c r="O7" s="14" t="n">
        <f aca="false">N7/M7</f>
        <v>0.295774647887324</v>
      </c>
      <c r="P7" s="15" t="n">
        <f aca="false">YEAR(B7)</f>
        <v>2022</v>
      </c>
      <c r="Q7" s="15" t="str">
        <f aca="false">"Q"&amp;ROUNDUP(MONTH(B7)/3,0)</f>
        <v>Q1</v>
      </c>
      <c r="R7" s="15" t="str">
        <f aca="false">TEXT(B7,"MMM-YYYY")</f>
        <v>Jan-2022</v>
      </c>
    </row>
    <row r="8" customFormat="false" ht="15" hidden="false" customHeight="true" outlineLevel="0" collapsed="false">
      <c r="A8" s="3" t="s">
        <v>46</v>
      </c>
      <c r="B8" s="4" t="n">
        <v>44571</v>
      </c>
      <c r="C8" s="3" t="s">
        <v>47</v>
      </c>
      <c r="D8" s="3" t="s">
        <v>48</v>
      </c>
      <c r="E8" s="3" t="s">
        <v>23</v>
      </c>
      <c r="F8" s="3" t="s">
        <v>49</v>
      </c>
      <c r="G8" s="5" t="s">
        <v>50</v>
      </c>
      <c r="H8" s="3" t="n">
        <v>7</v>
      </c>
      <c r="I8" s="6" t="n">
        <v>21752</v>
      </c>
      <c r="J8" s="6" t="n">
        <v>18000</v>
      </c>
      <c r="K8" s="3" t="n">
        <v>5</v>
      </c>
      <c r="L8" s="3" t="s">
        <v>20</v>
      </c>
      <c r="M8" s="6" t="n">
        <v>152264</v>
      </c>
      <c r="N8" s="6" t="n">
        <v>26264</v>
      </c>
      <c r="O8" s="12" t="n">
        <f aca="false">N8/M8</f>
        <v>0.172489885987495</v>
      </c>
      <c r="P8" s="13" t="n">
        <f aca="false">YEAR(B8)</f>
        <v>2022</v>
      </c>
      <c r="Q8" s="13" t="str">
        <f aca="false">"Q"&amp;ROUNDUP(MONTH(B8)/3,0)</f>
        <v>Q1</v>
      </c>
      <c r="R8" s="13" t="str">
        <f aca="false">TEXT(B8,"MMM-YYYY")</f>
        <v>Jan-2022</v>
      </c>
    </row>
    <row r="9" customFormat="false" ht="15" hidden="false" customHeight="true" outlineLevel="0" collapsed="false">
      <c r="A9" s="7" t="s">
        <v>51</v>
      </c>
      <c r="B9" s="8" t="n">
        <v>44574</v>
      </c>
      <c r="C9" s="7" t="s">
        <v>52</v>
      </c>
      <c r="D9" s="7" t="s">
        <v>29</v>
      </c>
      <c r="E9" s="7" t="s">
        <v>17</v>
      </c>
      <c r="F9" s="7" t="s">
        <v>18</v>
      </c>
      <c r="G9" s="9" t="s">
        <v>19</v>
      </c>
      <c r="H9" s="7" t="n">
        <v>11</v>
      </c>
      <c r="I9" s="10" t="n">
        <v>1227</v>
      </c>
      <c r="J9" s="10" t="n">
        <v>900</v>
      </c>
      <c r="K9" s="7" t="n">
        <v>10</v>
      </c>
      <c r="L9" s="7" t="s">
        <v>26</v>
      </c>
      <c r="M9" s="10" t="n">
        <v>13497</v>
      </c>
      <c r="N9" s="10" t="n">
        <v>3597</v>
      </c>
      <c r="O9" s="14" t="n">
        <f aca="false">N9/M9</f>
        <v>0.266503667481663</v>
      </c>
      <c r="P9" s="15" t="n">
        <f aca="false">YEAR(B9)</f>
        <v>2022</v>
      </c>
      <c r="Q9" s="15" t="str">
        <f aca="false">"Q"&amp;ROUNDUP(MONTH(B9)/3,0)</f>
        <v>Q1</v>
      </c>
      <c r="R9" s="15" t="str">
        <f aca="false">TEXT(B9,"MMM-YYYY")</f>
        <v>Jan-2022</v>
      </c>
    </row>
    <row r="10" customFormat="false" ht="15" hidden="false" customHeight="true" outlineLevel="0" collapsed="false">
      <c r="A10" s="3" t="s">
        <v>53</v>
      </c>
      <c r="B10" s="4" t="n">
        <v>44584</v>
      </c>
      <c r="C10" s="3" t="s">
        <v>28</v>
      </c>
      <c r="D10" s="3" t="s">
        <v>29</v>
      </c>
      <c r="E10" s="3" t="s">
        <v>17</v>
      </c>
      <c r="F10" s="3" t="s">
        <v>54</v>
      </c>
      <c r="G10" s="5" t="s">
        <v>55</v>
      </c>
      <c r="H10" s="3" t="n">
        <v>9</v>
      </c>
      <c r="I10" s="6" t="n">
        <v>634</v>
      </c>
      <c r="J10" s="6" t="n">
        <v>450</v>
      </c>
      <c r="K10" s="3" t="n">
        <v>49</v>
      </c>
      <c r="L10" s="3" t="s">
        <v>26</v>
      </c>
      <c r="M10" s="6" t="n">
        <v>5706</v>
      </c>
      <c r="N10" s="6" t="n">
        <v>1656</v>
      </c>
      <c r="O10" s="12" t="n">
        <f aca="false">N10/M10</f>
        <v>0.290220820189275</v>
      </c>
      <c r="P10" s="13" t="n">
        <f aca="false">YEAR(B10)</f>
        <v>2022</v>
      </c>
      <c r="Q10" s="13" t="str">
        <f aca="false">"Q"&amp;ROUNDUP(MONTH(B10)/3,0)</f>
        <v>Q1</v>
      </c>
      <c r="R10" s="13" t="str">
        <f aca="false">TEXT(B10,"MMM-YYYY")</f>
        <v>Jan-2022</v>
      </c>
    </row>
    <row r="11" customFormat="false" ht="15" hidden="false" customHeight="true" outlineLevel="0" collapsed="false">
      <c r="A11" s="7" t="s">
        <v>56</v>
      </c>
      <c r="B11" s="8" t="n">
        <v>44586</v>
      </c>
      <c r="C11" s="7" t="s">
        <v>52</v>
      </c>
      <c r="D11" s="7" t="s">
        <v>29</v>
      </c>
      <c r="E11" s="7" t="s">
        <v>30</v>
      </c>
      <c r="F11" s="7" t="s">
        <v>31</v>
      </c>
      <c r="G11" s="9" t="s">
        <v>32</v>
      </c>
      <c r="H11" s="7" t="n">
        <v>4</v>
      </c>
      <c r="I11" s="10" t="n">
        <v>1785</v>
      </c>
      <c r="J11" s="10" t="n">
        <v>1200</v>
      </c>
      <c r="K11" s="7" t="n">
        <v>6</v>
      </c>
      <c r="L11" s="7" t="s">
        <v>26</v>
      </c>
      <c r="M11" s="10" t="n">
        <v>7140</v>
      </c>
      <c r="N11" s="10" t="n">
        <v>2340</v>
      </c>
      <c r="O11" s="14" t="n">
        <f aca="false">N11/M11</f>
        <v>0.327731092436975</v>
      </c>
      <c r="P11" s="15" t="n">
        <f aca="false">YEAR(B11)</f>
        <v>2022</v>
      </c>
      <c r="Q11" s="15" t="str">
        <f aca="false">"Q"&amp;ROUNDUP(MONTH(B11)/3,0)</f>
        <v>Q1</v>
      </c>
      <c r="R11" s="15" t="str">
        <f aca="false">TEXT(B11,"MMM-YYYY")</f>
        <v>Jan-2022</v>
      </c>
    </row>
    <row r="12" customFormat="false" ht="15" hidden="false" customHeight="true" outlineLevel="0" collapsed="false">
      <c r="A12" s="3" t="s">
        <v>57</v>
      </c>
      <c r="B12" s="4" t="n">
        <v>44587</v>
      </c>
      <c r="C12" s="3" t="s">
        <v>58</v>
      </c>
      <c r="D12" s="3" t="s">
        <v>48</v>
      </c>
      <c r="E12" s="3" t="s">
        <v>17</v>
      </c>
      <c r="F12" s="3" t="s">
        <v>59</v>
      </c>
      <c r="G12" s="5" t="s">
        <v>60</v>
      </c>
      <c r="H12" s="3" t="n">
        <v>14</v>
      </c>
      <c r="I12" s="6" t="n">
        <v>384</v>
      </c>
      <c r="J12" s="6" t="n">
        <v>280</v>
      </c>
      <c r="K12" s="3" t="n">
        <v>6</v>
      </c>
      <c r="L12" s="3" t="s">
        <v>26</v>
      </c>
      <c r="M12" s="6" t="n">
        <v>5376</v>
      </c>
      <c r="N12" s="6" t="n">
        <v>1456</v>
      </c>
      <c r="O12" s="12" t="n">
        <f aca="false">N12/M12</f>
        <v>0.270833333333333</v>
      </c>
      <c r="P12" s="13" t="n">
        <f aca="false">YEAR(B12)</f>
        <v>2022</v>
      </c>
      <c r="Q12" s="13" t="str">
        <f aca="false">"Q"&amp;ROUNDUP(MONTH(B12)/3,0)</f>
        <v>Q1</v>
      </c>
      <c r="R12" s="13" t="str">
        <f aca="false">TEXT(B12,"MMM-YYYY")</f>
        <v>Jan-2022</v>
      </c>
    </row>
    <row r="13" customFormat="false" ht="15" hidden="false" customHeight="true" outlineLevel="0" collapsed="false">
      <c r="A13" s="7" t="s">
        <v>61</v>
      </c>
      <c r="B13" s="8" t="n">
        <v>44588</v>
      </c>
      <c r="C13" s="7" t="s">
        <v>43</v>
      </c>
      <c r="D13" s="7" t="s">
        <v>16</v>
      </c>
      <c r="E13" s="7" t="s">
        <v>62</v>
      </c>
      <c r="F13" s="7" t="s">
        <v>63</v>
      </c>
      <c r="G13" s="9" t="s">
        <v>64</v>
      </c>
      <c r="H13" s="7" t="n">
        <v>11</v>
      </c>
      <c r="I13" s="10" t="n">
        <v>80</v>
      </c>
      <c r="J13" s="10" t="n">
        <v>60</v>
      </c>
      <c r="K13" s="7" t="n">
        <v>21</v>
      </c>
      <c r="L13" s="7" t="s">
        <v>20</v>
      </c>
      <c r="M13" s="10" t="n">
        <v>880</v>
      </c>
      <c r="N13" s="10" t="n">
        <v>220</v>
      </c>
      <c r="O13" s="14" t="n">
        <f aca="false">N13/M13</f>
        <v>0.25</v>
      </c>
      <c r="P13" s="15" t="n">
        <f aca="false">YEAR(B13)</f>
        <v>2022</v>
      </c>
      <c r="Q13" s="15" t="str">
        <f aca="false">"Q"&amp;ROUNDUP(MONTH(B13)/3,0)</f>
        <v>Q1</v>
      </c>
      <c r="R13" s="15" t="str">
        <f aca="false">TEXT(B13,"MMM-YYYY")</f>
        <v>Jan-2022</v>
      </c>
    </row>
    <row r="14" customFormat="false" ht="15" hidden="false" customHeight="true" outlineLevel="0" collapsed="false">
      <c r="A14" s="3" t="s">
        <v>65</v>
      </c>
      <c r="B14" s="4" t="n">
        <v>44588</v>
      </c>
      <c r="C14" s="3" t="s">
        <v>28</v>
      </c>
      <c r="D14" s="3" t="s">
        <v>29</v>
      </c>
      <c r="E14" s="3" t="s">
        <v>17</v>
      </c>
      <c r="F14" s="3" t="s">
        <v>66</v>
      </c>
      <c r="G14" s="5" t="s">
        <v>67</v>
      </c>
      <c r="H14" s="3" t="n">
        <v>9</v>
      </c>
      <c r="I14" s="6" t="n">
        <v>510</v>
      </c>
      <c r="J14" s="6" t="n">
        <v>350</v>
      </c>
      <c r="K14" s="3" t="n">
        <v>30</v>
      </c>
      <c r="L14" s="3" t="s">
        <v>26</v>
      </c>
      <c r="M14" s="6" t="n">
        <v>4590</v>
      </c>
      <c r="N14" s="6" t="n">
        <v>1440</v>
      </c>
      <c r="O14" s="12" t="n">
        <f aca="false">N14/M14</f>
        <v>0.313725490196078</v>
      </c>
      <c r="P14" s="13" t="n">
        <f aca="false">YEAR(B14)</f>
        <v>2022</v>
      </c>
      <c r="Q14" s="13" t="str">
        <f aca="false">"Q"&amp;ROUNDUP(MONTH(B14)/3,0)</f>
        <v>Q1</v>
      </c>
      <c r="R14" s="13" t="str">
        <f aca="false">TEXT(B14,"MMM-YYYY")</f>
        <v>Jan-2022</v>
      </c>
    </row>
    <row r="15" customFormat="false" ht="15" hidden="false" customHeight="true" outlineLevel="0" collapsed="false">
      <c r="A15" s="7" t="s">
        <v>68</v>
      </c>
      <c r="B15" s="8" t="n">
        <v>44589</v>
      </c>
      <c r="C15" s="7" t="s">
        <v>52</v>
      </c>
      <c r="D15" s="7" t="s">
        <v>29</v>
      </c>
      <c r="E15" s="7" t="s">
        <v>62</v>
      </c>
      <c r="F15" s="7" t="s">
        <v>69</v>
      </c>
      <c r="G15" s="9" t="s">
        <v>70</v>
      </c>
      <c r="H15" s="7" t="n">
        <v>2</v>
      </c>
      <c r="I15" s="10" t="n">
        <v>70</v>
      </c>
      <c r="J15" s="10" t="n">
        <v>50</v>
      </c>
      <c r="K15" s="7" t="n">
        <v>34</v>
      </c>
      <c r="L15" s="7" t="s">
        <v>26</v>
      </c>
      <c r="M15" s="10" t="n">
        <v>140</v>
      </c>
      <c r="N15" s="10" t="n">
        <v>40</v>
      </c>
      <c r="O15" s="14" t="n">
        <f aca="false">N15/M15</f>
        <v>0.285714285714286</v>
      </c>
      <c r="P15" s="15" t="n">
        <f aca="false">YEAR(B15)</f>
        <v>2022</v>
      </c>
      <c r="Q15" s="15" t="str">
        <f aca="false">"Q"&amp;ROUNDUP(MONTH(B15)/3,0)</f>
        <v>Q1</v>
      </c>
      <c r="R15" s="15" t="str">
        <f aca="false">TEXT(B15,"MMM-YYYY")</f>
        <v>Jan-2022</v>
      </c>
    </row>
    <row r="16" customFormat="false" ht="15" hidden="false" customHeight="true" outlineLevel="0" collapsed="false">
      <c r="A16" s="3" t="s">
        <v>71</v>
      </c>
      <c r="B16" s="4" t="n">
        <v>44591</v>
      </c>
      <c r="C16" s="3" t="s">
        <v>72</v>
      </c>
      <c r="D16" s="3" t="s">
        <v>35</v>
      </c>
      <c r="E16" s="3" t="s">
        <v>17</v>
      </c>
      <c r="F16" s="3" t="s">
        <v>44</v>
      </c>
      <c r="G16" s="5" t="s">
        <v>45</v>
      </c>
      <c r="H16" s="3" t="n">
        <v>10</v>
      </c>
      <c r="I16" s="6" t="n">
        <v>359</v>
      </c>
      <c r="J16" s="6" t="n">
        <v>250</v>
      </c>
      <c r="K16" s="3" t="n">
        <v>48</v>
      </c>
      <c r="L16" s="3" t="s">
        <v>26</v>
      </c>
      <c r="M16" s="6" t="n">
        <v>3590</v>
      </c>
      <c r="N16" s="6" t="n">
        <v>1090</v>
      </c>
      <c r="O16" s="12" t="n">
        <f aca="false">N16/M16</f>
        <v>0.303621169916435</v>
      </c>
      <c r="P16" s="13" t="n">
        <f aca="false">YEAR(B16)</f>
        <v>2022</v>
      </c>
      <c r="Q16" s="13" t="str">
        <f aca="false">"Q"&amp;ROUNDUP(MONTH(B16)/3,0)</f>
        <v>Q1</v>
      </c>
      <c r="R16" s="13" t="str">
        <f aca="false">TEXT(B16,"MMM-YYYY")</f>
        <v>Jan-2022</v>
      </c>
    </row>
    <row r="17" customFormat="false" ht="15" hidden="false" customHeight="true" outlineLevel="0" collapsed="false">
      <c r="A17" s="7" t="s">
        <v>73</v>
      </c>
      <c r="B17" s="8" t="n">
        <v>44593</v>
      </c>
      <c r="C17" s="7" t="s">
        <v>47</v>
      </c>
      <c r="D17" s="7" t="s">
        <v>48</v>
      </c>
      <c r="E17" s="7" t="s">
        <v>17</v>
      </c>
      <c r="F17" s="7" t="s">
        <v>54</v>
      </c>
      <c r="G17" s="9" t="s">
        <v>55</v>
      </c>
      <c r="H17" s="7" t="n">
        <v>8</v>
      </c>
      <c r="I17" s="10" t="n">
        <v>643</v>
      </c>
      <c r="J17" s="10" t="n">
        <v>450</v>
      </c>
      <c r="K17" s="7" t="n">
        <v>4</v>
      </c>
      <c r="L17" s="7" t="s">
        <v>26</v>
      </c>
      <c r="M17" s="10" t="n">
        <v>5144</v>
      </c>
      <c r="N17" s="10" t="n">
        <v>1544</v>
      </c>
      <c r="O17" s="14" t="n">
        <f aca="false">N17/M17</f>
        <v>0.300155520995334</v>
      </c>
      <c r="P17" s="15" t="n">
        <f aca="false">YEAR(B17)</f>
        <v>2022</v>
      </c>
      <c r="Q17" s="15" t="str">
        <f aca="false">"Q"&amp;ROUNDUP(MONTH(B17)/3,0)</f>
        <v>Q1</v>
      </c>
      <c r="R17" s="15" t="str">
        <f aca="false">TEXT(B17,"MMM-YYYY")</f>
        <v>Feb-2022</v>
      </c>
    </row>
    <row r="18" customFormat="false" ht="15" hidden="false" customHeight="true" outlineLevel="0" collapsed="false">
      <c r="A18" s="3" t="s">
        <v>74</v>
      </c>
      <c r="B18" s="4" t="n">
        <v>44595</v>
      </c>
      <c r="C18" s="3" t="s">
        <v>52</v>
      </c>
      <c r="D18" s="3" t="s">
        <v>29</v>
      </c>
      <c r="E18" s="3" t="s">
        <v>62</v>
      </c>
      <c r="F18" s="3" t="s">
        <v>69</v>
      </c>
      <c r="G18" s="5" t="s">
        <v>70</v>
      </c>
      <c r="H18" s="3" t="n">
        <v>2</v>
      </c>
      <c r="I18" s="6" t="n">
        <v>71</v>
      </c>
      <c r="J18" s="6" t="n">
        <v>50</v>
      </c>
      <c r="K18" s="3" t="n">
        <v>25</v>
      </c>
      <c r="L18" s="3" t="s">
        <v>26</v>
      </c>
      <c r="M18" s="6" t="n">
        <v>142</v>
      </c>
      <c r="N18" s="6" t="n">
        <v>42</v>
      </c>
      <c r="O18" s="12" t="n">
        <f aca="false">N18/M18</f>
        <v>0.295774647887324</v>
      </c>
      <c r="P18" s="13" t="n">
        <f aca="false">YEAR(B18)</f>
        <v>2022</v>
      </c>
      <c r="Q18" s="13" t="str">
        <f aca="false">"Q"&amp;ROUNDUP(MONTH(B18)/3,0)</f>
        <v>Q1</v>
      </c>
      <c r="R18" s="13" t="str">
        <f aca="false">TEXT(B18,"MMM-YYYY")</f>
        <v>Feb-2022</v>
      </c>
    </row>
    <row r="19" customFormat="false" ht="15" hidden="false" customHeight="true" outlineLevel="0" collapsed="false">
      <c r="A19" s="7" t="s">
        <v>75</v>
      </c>
      <c r="B19" s="8" t="n">
        <v>44598</v>
      </c>
      <c r="C19" s="7" t="s">
        <v>22</v>
      </c>
      <c r="D19" s="7" t="s">
        <v>16</v>
      </c>
      <c r="E19" s="7" t="s">
        <v>17</v>
      </c>
      <c r="F19" s="7" t="s">
        <v>54</v>
      </c>
      <c r="G19" s="9" t="s">
        <v>55</v>
      </c>
      <c r="H19" s="7" t="n">
        <v>8</v>
      </c>
      <c r="I19" s="10" t="n">
        <v>618</v>
      </c>
      <c r="J19" s="10" t="n">
        <v>450</v>
      </c>
      <c r="K19" s="7" t="n">
        <v>12</v>
      </c>
      <c r="L19" s="7" t="s">
        <v>20</v>
      </c>
      <c r="M19" s="10" t="n">
        <v>4944</v>
      </c>
      <c r="N19" s="10" t="n">
        <v>1344</v>
      </c>
      <c r="O19" s="14" t="n">
        <f aca="false">N19/M19</f>
        <v>0.271844660194175</v>
      </c>
      <c r="P19" s="15" t="n">
        <f aca="false">YEAR(B19)</f>
        <v>2022</v>
      </c>
      <c r="Q19" s="15" t="str">
        <f aca="false">"Q"&amp;ROUNDUP(MONTH(B19)/3,0)</f>
        <v>Q1</v>
      </c>
      <c r="R19" s="15" t="str">
        <f aca="false">TEXT(B19,"MMM-YYYY")</f>
        <v>Feb-2022</v>
      </c>
    </row>
    <row r="20" customFormat="false" ht="15" hidden="false" customHeight="true" outlineLevel="0" collapsed="false">
      <c r="A20" s="3" t="s">
        <v>76</v>
      </c>
      <c r="B20" s="4" t="n">
        <v>44600</v>
      </c>
      <c r="C20" s="3" t="s">
        <v>22</v>
      </c>
      <c r="D20" s="3" t="s">
        <v>16</v>
      </c>
      <c r="E20" s="3" t="s">
        <v>77</v>
      </c>
      <c r="F20" s="3" t="s">
        <v>78</v>
      </c>
      <c r="G20" s="5" t="s">
        <v>79</v>
      </c>
      <c r="H20" s="3" t="n">
        <v>5</v>
      </c>
      <c r="I20" s="6" t="n">
        <v>1293</v>
      </c>
      <c r="J20" s="6" t="n">
        <v>900</v>
      </c>
      <c r="K20" s="3" t="n">
        <v>4</v>
      </c>
      <c r="L20" s="3" t="s">
        <v>26</v>
      </c>
      <c r="M20" s="6" t="n">
        <v>6465</v>
      </c>
      <c r="N20" s="6" t="n">
        <v>1965</v>
      </c>
      <c r="O20" s="12" t="n">
        <f aca="false">N20/M20</f>
        <v>0.303944315545244</v>
      </c>
      <c r="P20" s="13" t="n">
        <f aca="false">YEAR(B20)</f>
        <v>2022</v>
      </c>
      <c r="Q20" s="13" t="str">
        <f aca="false">"Q"&amp;ROUNDUP(MONTH(B20)/3,0)</f>
        <v>Q1</v>
      </c>
      <c r="R20" s="13" t="str">
        <f aca="false">TEXT(B20,"MMM-YYYY")</f>
        <v>Feb-2022</v>
      </c>
    </row>
    <row r="21" customFormat="false" ht="15" hidden="false" customHeight="true" outlineLevel="0" collapsed="false">
      <c r="A21" s="7" t="s">
        <v>80</v>
      </c>
      <c r="B21" s="8" t="n">
        <v>44600</v>
      </c>
      <c r="C21" s="7" t="s">
        <v>72</v>
      </c>
      <c r="D21" s="7" t="s">
        <v>35</v>
      </c>
      <c r="E21" s="7" t="s">
        <v>77</v>
      </c>
      <c r="F21" s="7" t="s">
        <v>81</v>
      </c>
      <c r="G21" s="9" t="s">
        <v>82</v>
      </c>
      <c r="H21" s="7" t="n">
        <v>2</v>
      </c>
      <c r="I21" s="10" t="n">
        <v>862</v>
      </c>
      <c r="J21" s="10" t="n">
        <v>600</v>
      </c>
      <c r="K21" s="7" t="n">
        <v>20</v>
      </c>
      <c r="L21" s="7" t="s">
        <v>26</v>
      </c>
      <c r="M21" s="10" t="n">
        <v>1724</v>
      </c>
      <c r="N21" s="10" t="n">
        <v>524</v>
      </c>
      <c r="O21" s="14" t="n">
        <f aca="false">N21/M21</f>
        <v>0.303944315545244</v>
      </c>
      <c r="P21" s="15" t="n">
        <f aca="false">YEAR(B21)</f>
        <v>2022</v>
      </c>
      <c r="Q21" s="15" t="str">
        <f aca="false">"Q"&amp;ROUNDUP(MONTH(B21)/3,0)</f>
        <v>Q1</v>
      </c>
      <c r="R21" s="15" t="str">
        <f aca="false">TEXT(B21,"MMM-YYYY")</f>
        <v>Feb-2022</v>
      </c>
    </row>
    <row r="22" customFormat="false" ht="15" hidden="false" customHeight="true" outlineLevel="0" collapsed="false">
      <c r="A22" s="3" t="s">
        <v>83</v>
      </c>
      <c r="B22" s="4" t="n">
        <v>44600</v>
      </c>
      <c r="C22" s="3" t="s">
        <v>43</v>
      </c>
      <c r="D22" s="3" t="s">
        <v>16</v>
      </c>
      <c r="E22" s="3" t="s">
        <v>62</v>
      </c>
      <c r="F22" s="3" t="s">
        <v>84</v>
      </c>
      <c r="G22" s="5" t="s">
        <v>85</v>
      </c>
      <c r="H22" s="3" t="n">
        <v>7</v>
      </c>
      <c r="I22" s="6" t="n">
        <v>479</v>
      </c>
      <c r="J22" s="6" t="n">
        <v>350</v>
      </c>
      <c r="K22" s="3" t="n">
        <v>36</v>
      </c>
      <c r="L22" s="3" t="s">
        <v>20</v>
      </c>
      <c r="M22" s="6" t="n">
        <v>3353</v>
      </c>
      <c r="N22" s="6" t="n">
        <v>903</v>
      </c>
      <c r="O22" s="12" t="n">
        <f aca="false">N22/M22</f>
        <v>0.269311064718163</v>
      </c>
      <c r="P22" s="13" t="n">
        <f aca="false">YEAR(B22)</f>
        <v>2022</v>
      </c>
      <c r="Q22" s="13" t="str">
        <f aca="false">"Q"&amp;ROUNDUP(MONTH(B22)/3,0)</f>
        <v>Q1</v>
      </c>
      <c r="R22" s="13" t="str">
        <f aca="false">TEXT(B22,"MMM-YYYY")</f>
        <v>Feb-2022</v>
      </c>
    </row>
    <row r="23" customFormat="false" ht="15" hidden="false" customHeight="true" outlineLevel="0" collapsed="false">
      <c r="A23" s="7" t="s">
        <v>86</v>
      </c>
      <c r="B23" s="8" t="n">
        <v>44601</v>
      </c>
      <c r="C23" s="7" t="s">
        <v>15</v>
      </c>
      <c r="D23" s="7" t="s">
        <v>16</v>
      </c>
      <c r="E23" s="7" t="s">
        <v>30</v>
      </c>
      <c r="F23" s="7" t="s">
        <v>87</v>
      </c>
      <c r="G23" s="9" t="s">
        <v>88</v>
      </c>
      <c r="H23" s="7" t="n">
        <v>10</v>
      </c>
      <c r="I23" s="10" t="n">
        <v>1005</v>
      </c>
      <c r="J23" s="10" t="n">
        <v>700</v>
      </c>
      <c r="K23" s="7" t="n">
        <v>49</v>
      </c>
      <c r="L23" s="7" t="s">
        <v>26</v>
      </c>
      <c r="M23" s="10" t="n">
        <v>10050</v>
      </c>
      <c r="N23" s="10" t="n">
        <v>3050</v>
      </c>
      <c r="O23" s="14" t="n">
        <f aca="false">N23/M23</f>
        <v>0.303482587064677</v>
      </c>
      <c r="P23" s="15" t="n">
        <f aca="false">YEAR(B23)</f>
        <v>2022</v>
      </c>
      <c r="Q23" s="15" t="str">
        <f aca="false">"Q"&amp;ROUNDUP(MONTH(B23)/3,0)</f>
        <v>Q1</v>
      </c>
      <c r="R23" s="15" t="str">
        <f aca="false">TEXT(B23,"MMM-YYYY")</f>
        <v>Feb-2022</v>
      </c>
    </row>
    <row r="24" customFormat="false" ht="15" hidden="false" customHeight="true" outlineLevel="0" collapsed="false">
      <c r="A24" s="3" t="s">
        <v>89</v>
      </c>
      <c r="B24" s="4" t="n">
        <v>44604</v>
      </c>
      <c r="C24" s="3" t="s">
        <v>47</v>
      </c>
      <c r="D24" s="3" t="s">
        <v>48</v>
      </c>
      <c r="E24" s="3" t="s">
        <v>23</v>
      </c>
      <c r="F24" s="3" t="s">
        <v>90</v>
      </c>
      <c r="G24" s="5" t="s">
        <v>91</v>
      </c>
      <c r="H24" s="3" t="n">
        <v>7</v>
      </c>
      <c r="I24" s="6" t="n">
        <v>739</v>
      </c>
      <c r="J24" s="6" t="n">
        <v>600</v>
      </c>
      <c r="K24" s="3" t="n">
        <v>43</v>
      </c>
      <c r="L24" s="3" t="s">
        <v>26</v>
      </c>
      <c r="M24" s="6" t="n">
        <v>5173</v>
      </c>
      <c r="N24" s="6" t="n">
        <v>973</v>
      </c>
      <c r="O24" s="12" t="n">
        <f aca="false">N24/M24</f>
        <v>0.18809201623816</v>
      </c>
      <c r="P24" s="13" t="n">
        <f aca="false">YEAR(B24)</f>
        <v>2022</v>
      </c>
      <c r="Q24" s="13" t="str">
        <f aca="false">"Q"&amp;ROUNDUP(MONTH(B24)/3,0)</f>
        <v>Q1</v>
      </c>
      <c r="R24" s="13" t="str">
        <f aca="false">TEXT(B24,"MMM-YYYY")</f>
        <v>Feb-2022</v>
      </c>
    </row>
    <row r="25" customFormat="false" ht="15" hidden="false" customHeight="true" outlineLevel="0" collapsed="false">
      <c r="A25" s="7" t="s">
        <v>92</v>
      </c>
      <c r="B25" s="8" t="n">
        <v>44604</v>
      </c>
      <c r="C25" s="7" t="s">
        <v>28</v>
      </c>
      <c r="D25" s="7" t="s">
        <v>29</v>
      </c>
      <c r="E25" s="7" t="s">
        <v>23</v>
      </c>
      <c r="F25" s="7" t="s">
        <v>90</v>
      </c>
      <c r="G25" s="9" t="s">
        <v>91</v>
      </c>
      <c r="H25" s="7" t="n">
        <v>13</v>
      </c>
      <c r="I25" s="10" t="n">
        <v>704</v>
      </c>
      <c r="J25" s="10" t="n">
        <v>600</v>
      </c>
      <c r="K25" s="7" t="n">
        <v>29</v>
      </c>
      <c r="L25" s="7" t="s">
        <v>20</v>
      </c>
      <c r="M25" s="10" t="n">
        <v>9152</v>
      </c>
      <c r="N25" s="10" t="n">
        <v>1352</v>
      </c>
      <c r="O25" s="14" t="n">
        <f aca="false">N25/M25</f>
        <v>0.147727272727273</v>
      </c>
      <c r="P25" s="15" t="n">
        <f aca="false">YEAR(B25)</f>
        <v>2022</v>
      </c>
      <c r="Q25" s="15" t="str">
        <f aca="false">"Q"&amp;ROUNDUP(MONTH(B25)/3,0)</f>
        <v>Q1</v>
      </c>
      <c r="R25" s="15" t="str">
        <f aca="false">TEXT(B25,"MMM-YYYY")</f>
        <v>Feb-2022</v>
      </c>
    </row>
    <row r="26" customFormat="false" ht="15" hidden="false" customHeight="true" outlineLevel="0" collapsed="false">
      <c r="A26" s="3" t="s">
        <v>93</v>
      </c>
      <c r="B26" s="4" t="n">
        <v>44606</v>
      </c>
      <c r="C26" s="3" t="s">
        <v>94</v>
      </c>
      <c r="D26" s="3" t="s">
        <v>48</v>
      </c>
      <c r="E26" s="3" t="s">
        <v>17</v>
      </c>
      <c r="F26" s="3" t="s">
        <v>44</v>
      </c>
      <c r="G26" s="5" t="s">
        <v>45</v>
      </c>
      <c r="H26" s="3" t="n">
        <v>14</v>
      </c>
      <c r="I26" s="6" t="n">
        <v>338</v>
      </c>
      <c r="J26" s="6" t="n">
        <v>250</v>
      </c>
      <c r="K26" s="3" t="n">
        <v>16</v>
      </c>
      <c r="L26" s="3" t="s">
        <v>26</v>
      </c>
      <c r="M26" s="6" t="n">
        <v>4732</v>
      </c>
      <c r="N26" s="6" t="n">
        <v>1232</v>
      </c>
      <c r="O26" s="12" t="n">
        <f aca="false">N26/M26</f>
        <v>0.260355029585799</v>
      </c>
      <c r="P26" s="13" t="n">
        <f aca="false">YEAR(B26)</f>
        <v>2022</v>
      </c>
      <c r="Q26" s="13" t="str">
        <f aca="false">"Q"&amp;ROUNDUP(MONTH(B26)/3,0)</f>
        <v>Q1</v>
      </c>
      <c r="R26" s="13" t="str">
        <f aca="false">TEXT(B26,"MMM-YYYY")</f>
        <v>Feb-2022</v>
      </c>
    </row>
    <row r="27" customFormat="false" ht="15" hidden="false" customHeight="true" outlineLevel="0" collapsed="false">
      <c r="A27" s="7" t="s">
        <v>95</v>
      </c>
      <c r="B27" s="8" t="n">
        <v>44607</v>
      </c>
      <c r="C27" s="7" t="s">
        <v>28</v>
      </c>
      <c r="D27" s="7" t="s">
        <v>29</v>
      </c>
      <c r="E27" s="7" t="s">
        <v>62</v>
      </c>
      <c r="F27" s="7" t="s">
        <v>96</v>
      </c>
      <c r="G27" s="9" t="s">
        <v>97</v>
      </c>
      <c r="H27" s="7" t="n">
        <v>4</v>
      </c>
      <c r="I27" s="10" t="n">
        <v>104</v>
      </c>
      <c r="J27" s="10" t="n">
        <v>80</v>
      </c>
      <c r="K27" s="7" t="n">
        <v>16</v>
      </c>
      <c r="L27" s="7" t="s">
        <v>20</v>
      </c>
      <c r="M27" s="10" t="n">
        <v>416</v>
      </c>
      <c r="N27" s="10" t="n">
        <v>96</v>
      </c>
      <c r="O27" s="14" t="n">
        <f aca="false">N27/M27</f>
        <v>0.230769230769231</v>
      </c>
      <c r="P27" s="15" t="n">
        <f aca="false">YEAR(B27)</f>
        <v>2022</v>
      </c>
      <c r="Q27" s="15" t="str">
        <f aca="false">"Q"&amp;ROUNDUP(MONTH(B27)/3,0)</f>
        <v>Q1</v>
      </c>
      <c r="R27" s="15" t="str">
        <f aca="false">TEXT(B27,"MMM-YYYY")</f>
        <v>Feb-2022</v>
      </c>
    </row>
    <row r="28" customFormat="false" ht="15" hidden="false" customHeight="true" outlineLevel="0" collapsed="false">
      <c r="A28" s="3" t="s">
        <v>98</v>
      </c>
      <c r="B28" s="4" t="n">
        <v>44608</v>
      </c>
      <c r="C28" s="3" t="s">
        <v>28</v>
      </c>
      <c r="D28" s="3" t="s">
        <v>29</v>
      </c>
      <c r="E28" s="3" t="s">
        <v>39</v>
      </c>
      <c r="F28" s="3" t="s">
        <v>99</v>
      </c>
      <c r="G28" s="5" t="s">
        <v>100</v>
      </c>
      <c r="H28" s="3" t="n">
        <v>6</v>
      </c>
      <c r="I28" s="6" t="n">
        <v>270</v>
      </c>
      <c r="J28" s="6" t="n">
        <v>220</v>
      </c>
      <c r="K28" s="3" t="n">
        <v>18</v>
      </c>
      <c r="L28" s="3" t="s">
        <v>20</v>
      </c>
      <c r="M28" s="6" t="n">
        <v>1620</v>
      </c>
      <c r="N28" s="6" t="n">
        <v>300</v>
      </c>
      <c r="O28" s="12" t="n">
        <f aca="false">N28/M28</f>
        <v>0.185185185185185</v>
      </c>
      <c r="P28" s="13" t="n">
        <f aca="false">YEAR(B28)</f>
        <v>2022</v>
      </c>
      <c r="Q28" s="13" t="str">
        <f aca="false">"Q"&amp;ROUNDUP(MONTH(B28)/3,0)</f>
        <v>Q1</v>
      </c>
      <c r="R28" s="13" t="str">
        <f aca="false">TEXT(B28,"MMM-YYYY")</f>
        <v>Feb-2022</v>
      </c>
    </row>
    <row r="29" customFormat="false" ht="15" hidden="false" customHeight="true" outlineLevel="0" collapsed="false">
      <c r="A29" s="7" t="s">
        <v>101</v>
      </c>
      <c r="B29" s="8" t="n">
        <v>44610</v>
      </c>
      <c r="C29" s="7" t="s">
        <v>94</v>
      </c>
      <c r="D29" s="7" t="s">
        <v>48</v>
      </c>
      <c r="E29" s="7" t="s">
        <v>17</v>
      </c>
      <c r="F29" s="7" t="s">
        <v>66</v>
      </c>
      <c r="G29" s="9" t="s">
        <v>67</v>
      </c>
      <c r="H29" s="7" t="n">
        <v>3</v>
      </c>
      <c r="I29" s="10" t="n">
        <v>476</v>
      </c>
      <c r="J29" s="10" t="n">
        <v>350</v>
      </c>
      <c r="K29" s="7" t="n">
        <v>5</v>
      </c>
      <c r="L29" s="7" t="s">
        <v>26</v>
      </c>
      <c r="M29" s="10" t="n">
        <v>1428</v>
      </c>
      <c r="N29" s="10" t="n">
        <v>378</v>
      </c>
      <c r="O29" s="14" t="n">
        <f aca="false">N29/M29</f>
        <v>0.264705882352941</v>
      </c>
      <c r="P29" s="15" t="n">
        <f aca="false">YEAR(B29)</f>
        <v>2022</v>
      </c>
      <c r="Q29" s="15" t="str">
        <f aca="false">"Q"&amp;ROUNDUP(MONTH(B29)/3,0)</f>
        <v>Q1</v>
      </c>
      <c r="R29" s="15" t="str">
        <f aca="false">TEXT(B29,"MMM-YYYY")</f>
        <v>Feb-2022</v>
      </c>
    </row>
    <row r="30" customFormat="false" ht="15" hidden="false" customHeight="true" outlineLevel="0" collapsed="false">
      <c r="A30" s="3" t="s">
        <v>102</v>
      </c>
      <c r="B30" s="4" t="n">
        <v>44610</v>
      </c>
      <c r="C30" s="3" t="s">
        <v>58</v>
      </c>
      <c r="D30" s="3" t="s">
        <v>48</v>
      </c>
      <c r="E30" s="3" t="s">
        <v>62</v>
      </c>
      <c r="F30" s="3" t="s">
        <v>103</v>
      </c>
      <c r="G30" s="5" t="s">
        <v>104</v>
      </c>
      <c r="H30" s="3" t="n">
        <v>13</v>
      </c>
      <c r="I30" s="6" t="n">
        <v>121</v>
      </c>
      <c r="J30" s="6" t="n">
        <v>90</v>
      </c>
      <c r="K30" s="3" t="n">
        <v>21</v>
      </c>
      <c r="L30" s="3" t="s">
        <v>26</v>
      </c>
      <c r="M30" s="6" t="n">
        <v>1573</v>
      </c>
      <c r="N30" s="6" t="n">
        <v>403</v>
      </c>
      <c r="O30" s="12" t="n">
        <f aca="false">N30/M30</f>
        <v>0.256198347107438</v>
      </c>
      <c r="P30" s="13" t="n">
        <f aca="false">YEAR(B30)</f>
        <v>2022</v>
      </c>
      <c r="Q30" s="13" t="str">
        <f aca="false">"Q"&amp;ROUNDUP(MONTH(B30)/3,0)</f>
        <v>Q1</v>
      </c>
      <c r="R30" s="13" t="str">
        <f aca="false">TEXT(B30,"MMM-YYYY")</f>
        <v>Feb-2022</v>
      </c>
    </row>
    <row r="31" customFormat="false" ht="15" hidden="false" customHeight="true" outlineLevel="0" collapsed="false">
      <c r="A31" s="7" t="s">
        <v>105</v>
      </c>
      <c r="B31" s="8" t="n">
        <v>44610</v>
      </c>
      <c r="C31" s="7" t="s">
        <v>28</v>
      </c>
      <c r="D31" s="7" t="s">
        <v>29</v>
      </c>
      <c r="E31" s="7" t="s">
        <v>17</v>
      </c>
      <c r="F31" s="7" t="s">
        <v>66</v>
      </c>
      <c r="G31" s="9" t="s">
        <v>67</v>
      </c>
      <c r="H31" s="7" t="n">
        <v>11</v>
      </c>
      <c r="I31" s="10" t="n">
        <v>467</v>
      </c>
      <c r="J31" s="10" t="n">
        <v>350</v>
      </c>
      <c r="K31" s="7" t="n">
        <v>24</v>
      </c>
      <c r="L31" s="7" t="s">
        <v>20</v>
      </c>
      <c r="M31" s="10" t="n">
        <v>5137</v>
      </c>
      <c r="N31" s="10" t="n">
        <v>1287</v>
      </c>
      <c r="O31" s="14" t="n">
        <f aca="false">N31/M31</f>
        <v>0.250535331905782</v>
      </c>
      <c r="P31" s="15" t="n">
        <f aca="false">YEAR(B31)</f>
        <v>2022</v>
      </c>
      <c r="Q31" s="15" t="str">
        <f aca="false">"Q"&amp;ROUNDUP(MONTH(B31)/3,0)</f>
        <v>Q1</v>
      </c>
      <c r="R31" s="15" t="str">
        <f aca="false">TEXT(B31,"MMM-YYYY")</f>
        <v>Feb-2022</v>
      </c>
    </row>
    <row r="32" customFormat="false" ht="15" hidden="false" customHeight="true" outlineLevel="0" collapsed="false">
      <c r="A32" s="3" t="s">
        <v>106</v>
      </c>
      <c r="B32" s="4" t="n">
        <v>44611</v>
      </c>
      <c r="C32" s="3" t="s">
        <v>52</v>
      </c>
      <c r="D32" s="3" t="s">
        <v>29</v>
      </c>
      <c r="E32" s="3" t="s">
        <v>17</v>
      </c>
      <c r="F32" s="3" t="s">
        <v>59</v>
      </c>
      <c r="G32" s="5" t="s">
        <v>60</v>
      </c>
      <c r="H32" s="3" t="n">
        <v>3</v>
      </c>
      <c r="I32" s="6" t="n">
        <v>410</v>
      </c>
      <c r="J32" s="6" t="n">
        <v>280</v>
      </c>
      <c r="K32" s="3" t="n">
        <v>6</v>
      </c>
      <c r="L32" s="3" t="s">
        <v>20</v>
      </c>
      <c r="M32" s="6" t="n">
        <v>1230</v>
      </c>
      <c r="N32" s="6" t="n">
        <v>390</v>
      </c>
      <c r="O32" s="12" t="n">
        <f aca="false">N32/M32</f>
        <v>0.317073170731707</v>
      </c>
      <c r="P32" s="13" t="n">
        <f aca="false">YEAR(B32)</f>
        <v>2022</v>
      </c>
      <c r="Q32" s="13" t="str">
        <f aca="false">"Q"&amp;ROUNDUP(MONTH(B32)/3,0)</f>
        <v>Q1</v>
      </c>
      <c r="R32" s="13" t="str">
        <f aca="false">TEXT(B32,"MMM-YYYY")</f>
        <v>Feb-2022</v>
      </c>
    </row>
    <row r="33" customFormat="false" ht="15" hidden="false" customHeight="true" outlineLevel="0" collapsed="false">
      <c r="A33" s="7" t="s">
        <v>107</v>
      </c>
      <c r="B33" s="8" t="n">
        <v>44613</v>
      </c>
      <c r="C33" s="7" t="s">
        <v>22</v>
      </c>
      <c r="D33" s="7" t="s">
        <v>16</v>
      </c>
      <c r="E33" s="7" t="s">
        <v>17</v>
      </c>
      <c r="F33" s="7" t="s">
        <v>59</v>
      </c>
      <c r="G33" s="9" t="s">
        <v>60</v>
      </c>
      <c r="H33" s="7" t="n">
        <v>4</v>
      </c>
      <c r="I33" s="10" t="n">
        <v>390</v>
      </c>
      <c r="J33" s="10" t="n">
        <v>280</v>
      </c>
      <c r="K33" s="7" t="n">
        <v>43</v>
      </c>
      <c r="L33" s="7" t="s">
        <v>26</v>
      </c>
      <c r="M33" s="10" t="n">
        <v>1560</v>
      </c>
      <c r="N33" s="10" t="n">
        <v>440</v>
      </c>
      <c r="O33" s="14" t="n">
        <f aca="false">N33/M33</f>
        <v>0.282051282051282</v>
      </c>
      <c r="P33" s="15" t="n">
        <f aca="false">YEAR(B33)</f>
        <v>2022</v>
      </c>
      <c r="Q33" s="15" t="str">
        <f aca="false">"Q"&amp;ROUNDUP(MONTH(B33)/3,0)</f>
        <v>Q1</v>
      </c>
      <c r="R33" s="15" t="str">
        <f aca="false">TEXT(B33,"MMM-YYYY")</f>
        <v>Feb-2022</v>
      </c>
    </row>
    <row r="34" customFormat="false" ht="15" hidden="false" customHeight="true" outlineLevel="0" collapsed="false">
      <c r="A34" s="3" t="s">
        <v>108</v>
      </c>
      <c r="B34" s="4" t="n">
        <v>44614</v>
      </c>
      <c r="C34" s="3" t="s">
        <v>52</v>
      </c>
      <c r="D34" s="3" t="s">
        <v>29</v>
      </c>
      <c r="E34" s="3" t="s">
        <v>23</v>
      </c>
      <c r="F34" s="3" t="s">
        <v>49</v>
      </c>
      <c r="G34" s="5" t="s">
        <v>50</v>
      </c>
      <c r="H34" s="3" t="n">
        <v>8</v>
      </c>
      <c r="I34" s="6" t="n">
        <v>22123</v>
      </c>
      <c r="J34" s="6" t="n">
        <v>18000</v>
      </c>
      <c r="K34" s="3" t="n">
        <v>34</v>
      </c>
      <c r="L34" s="3" t="s">
        <v>26</v>
      </c>
      <c r="M34" s="6" t="n">
        <v>176984</v>
      </c>
      <c r="N34" s="6" t="n">
        <v>32984</v>
      </c>
      <c r="O34" s="12" t="n">
        <f aca="false">N34/M34</f>
        <v>0.186367129232021</v>
      </c>
      <c r="P34" s="13" t="n">
        <f aca="false">YEAR(B34)</f>
        <v>2022</v>
      </c>
      <c r="Q34" s="13" t="str">
        <f aca="false">"Q"&amp;ROUNDUP(MONTH(B34)/3,0)</f>
        <v>Q1</v>
      </c>
      <c r="R34" s="13" t="str">
        <f aca="false">TEXT(B34,"MMM-YYYY")</f>
        <v>Feb-2022</v>
      </c>
    </row>
    <row r="35" customFormat="false" ht="15" hidden="false" customHeight="true" outlineLevel="0" collapsed="false">
      <c r="A35" s="7" t="s">
        <v>109</v>
      </c>
      <c r="B35" s="8" t="n">
        <v>44614</v>
      </c>
      <c r="C35" s="7" t="s">
        <v>15</v>
      </c>
      <c r="D35" s="7" t="s">
        <v>16</v>
      </c>
      <c r="E35" s="7" t="s">
        <v>62</v>
      </c>
      <c r="F35" s="7" t="s">
        <v>84</v>
      </c>
      <c r="G35" s="9" t="s">
        <v>85</v>
      </c>
      <c r="H35" s="7" t="n">
        <v>11</v>
      </c>
      <c r="I35" s="10" t="n">
        <v>461</v>
      </c>
      <c r="J35" s="10" t="n">
        <v>350</v>
      </c>
      <c r="K35" s="7" t="n">
        <v>42</v>
      </c>
      <c r="L35" s="7" t="s">
        <v>20</v>
      </c>
      <c r="M35" s="10" t="n">
        <v>5071</v>
      </c>
      <c r="N35" s="10" t="n">
        <v>1221</v>
      </c>
      <c r="O35" s="14" t="n">
        <f aca="false">N35/M35</f>
        <v>0.240780911062907</v>
      </c>
      <c r="P35" s="15" t="n">
        <f aca="false">YEAR(B35)</f>
        <v>2022</v>
      </c>
      <c r="Q35" s="15" t="str">
        <f aca="false">"Q"&amp;ROUNDUP(MONTH(B35)/3,0)</f>
        <v>Q1</v>
      </c>
      <c r="R35" s="15" t="str">
        <f aca="false">TEXT(B35,"MMM-YYYY")</f>
        <v>Feb-2022</v>
      </c>
    </row>
    <row r="36" customFormat="false" ht="15" hidden="false" customHeight="true" outlineLevel="0" collapsed="false">
      <c r="A36" s="3" t="s">
        <v>110</v>
      </c>
      <c r="B36" s="4" t="n">
        <v>44615</v>
      </c>
      <c r="C36" s="3" t="s">
        <v>111</v>
      </c>
      <c r="D36" s="3" t="s">
        <v>29</v>
      </c>
      <c r="E36" s="3" t="s">
        <v>17</v>
      </c>
      <c r="F36" s="3" t="s">
        <v>66</v>
      </c>
      <c r="G36" s="5" t="s">
        <v>67</v>
      </c>
      <c r="H36" s="3" t="n">
        <v>5</v>
      </c>
      <c r="I36" s="6" t="n">
        <v>473</v>
      </c>
      <c r="J36" s="6" t="n">
        <v>350</v>
      </c>
      <c r="K36" s="3" t="n">
        <v>42</v>
      </c>
      <c r="L36" s="3" t="s">
        <v>26</v>
      </c>
      <c r="M36" s="6" t="n">
        <v>2365</v>
      </c>
      <c r="N36" s="6" t="n">
        <v>615</v>
      </c>
      <c r="O36" s="12" t="n">
        <f aca="false">N36/M36</f>
        <v>0.260042283298097</v>
      </c>
      <c r="P36" s="13" t="n">
        <f aca="false">YEAR(B36)</f>
        <v>2022</v>
      </c>
      <c r="Q36" s="13" t="str">
        <f aca="false">"Q"&amp;ROUNDUP(MONTH(B36)/3,0)</f>
        <v>Q1</v>
      </c>
      <c r="R36" s="13" t="str">
        <f aca="false">TEXT(B36,"MMM-YYYY")</f>
        <v>Feb-2022</v>
      </c>
    </row>
    <row r="37" customFormat="false" ht="15" hidden="false" customHeight="true" outlineLevel="0" collapsed="false">
      <c r="A37" s="7" t="s">
        <v>112</v>
      </c>
      <c r="B37" s="8" t="n">
        <v>44615</v>
      </c>
      <c r="C37" s="7" t="s">
        <v>28</v>
      </c>
      <c r="D37" s="7" t="s">
        <v>29</v>
      </c>
      <c r="E37" s="7" t="s">
        <v>17</v>
      </c>
      <c r="F37" s="7" t="s">
        <v>44</v>
      </c>
      <c r="G37" s="9" t="s">
        <v>45</v>
      </c>
      <c r="H37" s="7" t="n">
        <v>13</v>
      </c>
      <c r="I37" s="10" t="n">
        <v>361</v>
      </c>
      <c r="J37" s="10" t="n">
        <v>250</v>
      </c>
      <c r="K37" s="7" t="n">
        <v>14</v>
      </c>
      <c r="L37" s="7" t="s">
        <v>20</v>
      </c>
      <c r="M37" s="10" t="n">
        <v>4693</v>
      </c>
      <c r="N37" s="10" t="n">
        <v>1443</v>
      </c>
      <c r="O37" s="14" t="n">
        <f aca="false">N37/M37</f>
        <v>0.307479224376731</v>
      </c>
      <c r="P37" s="15" t="n">
        <f aca="false">YEAR(B37)</f>
        <v>2022</v>
      </c>
      <c r="Q37" s="15" t="str">
        <f aca="false">"Q"&amp;ROUNDUP(MONTH(B37)/3,0)</f>
        <v>Q1</v>
      </c>
      <c r="R37" s="15" t="str">
        <f aca="false">TEXT(B37,"MMM-YYYY")</f>
        <v>Feb-2022</v>
      </c>
    </row>
    <row r="38" customFormat="false" ht="15" hidden="false" customHeight="true" outlineLevel="0" collapsed="false">
      <c r="A38" s="3" t="s">
        <v>113</v>
      </c>
      <c r="B38" s="4" t="n">
        <v>44617</v>
      </c>
      <c r="C38" s="3" t="s">
        <v>34</v>
      </c>
      <c r="D38" s="3" t="s">
        <v>35</v>
      </c>
      <c r="E38" s="3" t="s">
        <v>23</v>
      </c>
      <c r="F38" s="3" t="s">
        <v>49</v>
      </c>
      <c r="G38" s="5" t="s">
        <v>50</v>
      </c>
      <c r="H38" s="3" t="n">
        <v>6</v>
      </c>
      <c r="I38" s="6" t="n">
        <v>22309</v>
      </c>
      <c r="J38" s="6" t="n">
        <v>18000</v>
      </c>
      <c r="K38" s="3" t="n">
        <v>32</v>
      </c>
      <c r="L38" s="3" t="s">
        <v>20</v>
      </c>
      <c r="M38" s="6" t="n">
        <v>133854</v>
      </c>
      <c r="N38" s="6" t="n">
        <v>25854</v>
      </c>
      <c r="O38" s="12" t="n">
        <f aca="false">N38/M38</f>
        <v>0.19315074633556</v>
      </c>
      <c r="P38" s="13" t="n">
        <f aca="false">YEAR(B38)</f>
        <v>2022</v>
      </c>
      <c r="Q38" s="13" t="str">
        <f aca="false">"Q"&amp;ROUNDUP(MONTH(B38)/3,0)</f>
        <v>Q1</v>
      </c>
      <c r="R38" s="13" t="str">
        <f aca="false">TEXT(B38,"MMM-YYYY")</f>
        <v>Feb-2022</v>
      </c>
    </row>
    <row r="39" customFormat="false" ht="15" hidden="false" customHeight="true" outlineLevel="0" collapsed="false">
      <c r="A39" s="7" t="s">
        <v>114</v>
      </c>
      <c r="B39" s="8" t="n">
        <v>44617</v>
      </c>
      <c r="C39" s="7" t="s">
        <v>47</v>
      </c>
      <c r="D39" s="7" t="s">
        <v>48</v>
      </c>
      <c r="E39" s="7" t="s">
        <v>39</v>
      </c>
      <c r="F39" s="7" t="s">
        <v>40</v>
      </c>
      <c r="G39" s="9" t="s">
        <v>41</v>
      </c>
      <c r="H39" s="7" t="n">
        <v>9</v>
      </c>
      <c r="I39" s="10" t="n">
        <v>106</v>
      </c>
      <c r="J39" s="10" t="n">
        <v>90</v>
      </c>
      <c r="K39" s="7" t="n">
        <v>31</v>
      </c>
      <c r="L39" s="7" t="s">
        <v>26</v>
      </c>
      <c r="M39" s="10" t="n">
        <v>954</v>
      </c>
      <c r="N39" s="10" t="n">
        <v>144</v>
      </c>
      <c r="O39" s="14" t="n">
        <f aca="false">N39/M39</f>
        <v>0.150943396226415</v>
      </c>
      <c r="P39" s="15" t="n">
        <f aca="false">YEAR(B39)</f>
        <v>2022</v>
      </c>
      <c r="Q39" s="15" t="str">
        <f aca="false">"Q"&amp;ROUNDUP(MONTH(B39)/3,0)</f>
        <v>Q1</v>
      </c>
      <c r="R39" s="15" t="str">
        <f aca="false">TEXT(B39,"MMM-YYYY")</f>
        <v>Feb-2022</v>
      </c>
    </row>
    <row r="40" customFormat="false" ht="15" hidden="false" customHeight="true" outlineLevel="0" collapsed="false">
      <c r="A40" s="3" t="s">
        <v>115</v>
      </c>
      <c r="B40" s="4" t="n">
        <v>44618</v>
      </c>
      <c r="C40" s="3" t="s">
        <v>94</v>
      </c>
      <c r="D40" s="3" t="s">
        <v>48</v>
      </c>
      <c r="E40" s="3" t="s">
        <v>17</v>
      </c>
      <c r="F40" s="3" t="s">
        <v>59</v>
      </c>
      <c r="G40" s="5" t="s">
        <v>60</v>
      </c>
      <c r="H40" s="3" t="n">
        <v>1</v>
      </c>
      <c r="I40" s="6" t="n">
        <v>399</v>
      </c>
      <c r="J40" s="6" t="n">
        <v>280</v>
      </c>
      <c r="K40" s="3" t="n">
        <v>31</v>
      </c>
      <c r="L40" s="3" t="s">
        <v>26</v>
      </c>
      <c r="M40" s="6" t="n">
        <v>399</v>
      </c>
      <c r="N40" s="6" t="n">
        <v>119</v>
      </c>
      <c r="O40" s="12" t="n">
        <f aca="false">N40/M40</f>
        <v>0.298245614035088</v>
      </c>
      <c r="P40" s="13" t="n">
        <f aca="false">YEAR(B40)</f>
        <v>2022</v>
      </c>
      <c r="Q40" s="13" t="str">
        <f aca="false">"Q"&amp;ROUNDUP(MONTH(B40)/3,0)</f>
        <v>Q1</v>
      </c>
      <c r="R40" s="13" t="str">
        <f aca="false">TEXT(B40,"MMM-YYYY")</f>
        <v>Feb-2022</v>
      </c>
    </row>
    <row r="41" customFormat="false" ht="15" hidden="false" customHeight="true" outlineLevel="0" collapsed="false">
      <c r="A41" s="7" t="s">
        <v>116</v>
      </c>
      <c r="B41" s="8" t="n">
        <v>44618</v>
      </c>
      <c r="C41" s="7" t="s">
        <v>47</v>
      </c>
      <c r="D41" s="7" t="s">
        <v>48</v>
      </c>
      <c r="E41" s="7" t="s">
        <v>62</v>
      </c>
      <c r="F41" s="7" t="s">
        <v>69</v>
      </c>
      <c r="G41" s="9" t="s">
        <v>70</v>
      </c>
      <c r="H41" s="7" t="n">
        <v>3</v>
      </c>
      <c r="I41" s="10" t="n">
        <v>69</v>
      </c>
      <c r="J41" s="10" t="n">
        <v>50</v>
      </c>
      <c r="K41" s="7" t="n">
        <v>38</v>
      </c>
      <c r="L41" s="7" t="s">
        <v>26</v>
      </c>
      <c r="M41" s="10" t="n">
        <v>207</v>
      </c>
      <c r="N41" s="10" t="n">
        <v>57</v>
      </c>
      <c r="O41" s="14" t="n">
        <f aca="false">N41/M41</f>
        <v>0.27536231884058</v>
      </c>
      <c r="P41" s="15" t="n">
        <f aca="false">YEAR(B41)</f>
        <v>2022</v>
      </c>
      <c r="Q41" s="15" t="str">
        <f aca="false">"Q"&amp;ROUNDUP(MONTH(B41)/3,0)</f>
        <v>Q1</v>
      </c>
      <c r="R41" s="15" t="str">
        <f aca="false">TEXT(B41,"MMM-YYYY")</f>
        <v>Feb-2022</v>
      </c>
    </row>
    <row r="42" customFormat="false" ht="15" hidden="false" customHeight="true" outlineLevel="0" collapsed="false">
      <c r="A42" s="3" t="s">
        <v>117</v>
      </c>
      <c r="B42" s="4" t="n">
        <v>44619</v>
      </c>
      <c r="C42" s="3" t="s">
        <v>34</v>
      </c>
      <c r="D42" s="3" t="s">
        <v>35</v>
      </c>
      <c r="E42" s="3" t="s">
        <v>30</v>
      </c>
      <c r="F42" s="3" t="s">
        <v>118</v>
      </c>
      <c r="G42" s="5" t="s">
        <v>119</v>
      </c>
      <c r="H42" s="3" t="n">
        <v>15</v>
      </c>
      <c r="I42" s="6" t="n">
        <v>401</v>
      </c>
      <c r="J42" s="6" t="n">
        <v>280</v>
      </c>
      <c r="K42" s="3" t="n">
        <v>20</v>
      </c>
      <c r="L42" s="3" t="s">
        <v>26</v>
      </c>
      <c r="M42" s="6" t="n">
        <v>6015</v>
      </c>
      <c r="N42" s="6" t="n">
        <v>1815</v>
      </c>
      <c r="O42" s="12" t="n">
        <f aca="false">N42/M42</f>
        <v>0.301745635910224</v>
      </c>
      <c r="P42" s="13" t="n">
        <f aca="false">YEAR(B42)</f>
        <v>2022</v>
      </c>
      <c r="Q42" s="13" t="str">
        <f aca="false">"Q"&amp;ROUNDUP(MONTH(B42)/3,0)</f>
        <v>Q1</v>
      </c>
      <c r="R42" s="13" t="str">
        <f aca="false">TEXT(B42,"MMM-YYYY")</f>
        <v>Feb-2022</v>
      </c>
    </row>
    <row r="43" customFormat="false" ht="15" hidden="false" customHeight="true" outlineLevel="0" collapsed="false">
      <c r="A43" s="7" t="s">
        <v>120</v>
      </c>
      <c r="B43" s="8" t="n">
        <v>44619</v>
      </c>
      <c r="C43" s="7" t="s">
        <v>34</v>
      </c>
      <c r="D43" s="7" t="s">
        <v>35</v>
      </c>
      <c r="E43" s="7" t="s">
        <v>77</v>
      </c>
      <c r="F43" s="7" t="s">
        <v>81</v>
      </c>
      <c r="G43" s="9" t="s">
        <v>82</v>
      </c>
      <c r="H43" s="7" t="n">
        <v>4</v>
      </c>
      <c r="I43" s="10" t="n">
        <v>820</v>
      </c>
      <c r="J43" s="10" t="n">
        <v>600</v>
      </c>
      <c r="K43" s="7" t="n">
        <v>19</v>
      </c>
      <c r="L43" s="7" t="s">
        <v>26</v>
      </c>
      <c r="M43" s="10" t="n">
        <v>3280</v>
      </c>
      <c r="N43" s="10" t="n">
        <v>880</v>
      </c>
      <c r="O43" s="14" t="n">
        <f aca="false">N43/M43</f>
        <v>0.268292682926829</v>
      </c>
      <c r="P43" s="15" t="n">
        <f aca="false">YEAR(B43)</f>
        <v>2022</v>
      </c>
      <c r="Q43" s="15" t="str">
        <f aca="false">"Q"&amp;ROUNDUP(MONTH(B43)/3,0)</f>
        <v>Q1</v>
      </c>
      <c r="R43" s="15" t="str">
        <f aca="false">TEXT(B43,"MMM-YYYY")</f>
        <v>Feb-2022</v>
      </c>
    </row>
    <row r="44" customFormat="false" ht="15" hidden="false" customHeight="true" outlineLevel="0" collapsed="false">
      <c r="A44" s="3" t="s">
        <v>121</v>
      </c>
      <c r="B44" s="4" t="n">
        <v>44624</v>
      </c>
      <c r="C44" s="3" t="s">
        <v>34</v>
      </c>
      <c r="D44" s="3" t="s">
        <v>35</v>
      </c>
      <c r="E44" s="3" t="s">
        <v>39</v>
      </c>
      <c r="F44" s="3" t="s">
        <v>40</v>
      </c>
      <c r="G44" s="5" t="s">
        <v>41</v>
      </c>
      <c r="H44" s="3" t="n">
        <v>9</v>
      </c>
      <c r="I44" s="6" t="n">
        <v>111</v>
      </c>
      <c r="J44" s="6" t="n">
        <v>90</v>
      </c>
      <c r="K44" s="3" t="n">
        <v>32</v>
      </c>
      <c r="L44" s="3" t="s">
        <v>20</v>
      </c>
      <c r="M44" s="6" t="n">
        <v>999</v>
      </c>
      <c r="N44" s="6" t="n">
        <v>189</v>
      </c>
      <c r="O44" s="12" t="n">
        <f aca="false">N44/M44</f>
        <v>0.189189189189189</v>
      </c>
      <c r="P44" s="13" t="n">
        <f aca="false">YEAR(B44)</f>
        <v>2022</v>
      </c>
      <c r="Q44" s="13" t="str">
        <f aca="false">"Q"&amp;ROUNDUP(MONTH(B44)/3,0)</f>
        <v>Q1</v>
      </c>
      <c r="R44" s="13" t="str">
        <f aca="false">TEXT(B44,"MMM-YYYY")</f>
        <v>Mar-2022</v>
      </c>
    </row>
    <row r="45" customFormat="false" ht="15" hidden="false" customHeight="true" outlineLevel="0" collapsed="false">
      <c r="A45" s="7" t="s">
        <v>122</v>
      </c>
      <c r="B45" s="8" t="n">
        <v>44626</v>
      </c>
      <c r="C45" s="7" t="s">
        <v>28</v>
      </c>
      <c r="D45" s="7" t="s">
        <v>29</v>
      </c>
      <c r="E45" s="7" t="s">
        <v>30</v>
      </c>
      <c r="F45" s="7" t="s">
        <v>118</v>
      </c>
      <c r="G45" s="9" t="s">
        <v>119</v>
      </c>
      <c r="H45" s="7" t="n">
        <v>5</v>
      </c>
      <c r="I45" s="10" t="n">
        <v>393</v>
      </c>
      <c r="J45" s="10" t="n">
        <v>280</v>
      </c>
      <c r="K45" s="7" t="n">
        <v>23</v>
      </c>
      <c r="L45" s="7" t="s">
        <v>26</v>
      </c>
      <c r="M45" s="10" t="n">
        <v>1965</v>
      </c>
      <c r="N45" s="10" t="n">
        <v>565</v>
      </c>
      <c r="O45" s="14" t="n">
        <f aca="false">N45/M45</f>
        <v>0.287531806615776</v>
      </c>
      <c r="P45" s="15" t="n">
        <f aca="false">YEAR(B45)</f>
        <v>2022</v>
      </c>
      <c r="Q45" s="15" t="str">
        <f aca="false">"Q"&amp;ROUNDUP(MONTH(B45)/3,0)</f>
        <v>Q1</v>
      </c>
      <c r="R45" s="15" t="str">
        <f aca="false">TEXT(B45,"MMM-YYYY")</f>
        <v>Mar-2022</v>
      </c>
    </row>
    <row r="46" customFormat="false" ht="15" hidden="false" customHeight="true" outlineLevel="0" collapsed="false">
      <c r="A46" s="3" t="s">
        <v>123</v>
      </c>
      <c r="B46" s="4" t="n">
        <v>44627</v>
      </c>
      <c r="C46" s="3" t="s">
        <v>72</v>
      </c>
      <c r="D46" s="3" t="s">
        <v>35</v>
      </c>
      <c r="E46" s="3" t="s">
        <v>77</v>
      </c>
      <c r="F46" s="3" t="s">
        <v>81</v>
      </c>
      <c r="G46" s="5" t="s">
        <v>82</v>
      </c>
      <c r="H46" s="3" t="n">
        <v>1</v>
      </c>
      <c r="I46" s="6" t="n">
        <v>850</v>
      </c>
      <c r="J46" s="6" t="n">
        <v>600</v>
      </c>
      <c r="K46" s="3" t="n">
        <v>33</v>
      </c>
      <c r="L46" s="3" t="s">
        <v>26</v>
      </c>
      <c r="M46" s="6" t="n">
        <v>850</v>
      </c>
      <c r="N46" s="6" t="n">
        <v>250</v>
      </c>
      <c r="O46" s="12" t="n">
        <f aca="false">N46/M46</f>
        <v>0.294117647058824</v>
      </c>
      <c r="P46" s="13" t="n">
        <f aca="false">YEAR(B46)</f>
        <v>2022</v>
      </c>
      <c r="Q46" s="13" t="str">
        <f aca="false">"Q"&amp;ROUNDUP(MONTH(B46)/3,0)</f>
        <v>Q1</v>
      </c>
      <c r="R46" s="13" t="str">
        <f aca="false">TEXT(B46,"MMM-YYYY")</f>
        <v>Mar-2022</v>
      </c>
    </row>
    <row r="47" customFormat="false" ht="15" hidden="false" customHeight="true" outlineLevel="0" collapsed="false">
      <c r="A47" s="7" t="s">
        <v>124</v>
      </c>
      <c r="B47" s="8" t="n">
        <v>44628</v>
      </c>
      <c r="C47" s="7" t="s">
        <v>43</v>
      </c>
      <c r="D47" s="7" t="s">
        <v>16</v>
      </c>
      <c r="E47" s="7" t="s">
        <v>77</v>
      </c>
      <c r="F47" s="7" t="s">
        <v>78</v>
      </c>
      <c r="G47" s="9" t="s">
        <v>79</v>
      </c>
      <c r="H47" s="7" t="n">
        <v>13</v>
      </c>
      <c r="I47" s="10" t="n">
        <v>1304</v>
      </c>
      <c r="J47" s="10" t="n">
        <v>900</v>
      </c>
      <c r="K47" s="7" t="n">
        <v>48</v>
      </c>
      <c r="L47" s="7" t="s">
        <v>20</v>
      </c>
      <c r="M47" s="10" t="n">
        <v>16952</v>
      </c>
      <c r="N47" s="10" t="n">
        <v>5252</v>
      </c>
      <c r="O47" s="14" t="n">
        <f aca="false">N47/M47</f>
        <v>0.309815950920245</v>
      </c>
      <c r="P47" s="15" t="n">
        <f aca="false">YEAR(B47)</f>
        <v>2022</v>
      </c>
      <c r="Q47" s="15" t="str">
        <f aca="false">"Q"&amp;ROUNDUP(MONTH(B47)/3,0)</f>
        <v>Q1</v>
      </c>
      <c r="R47" s="15" t="str">
        <f aca="false">TEXT(B47,"MMM-YYYY")</f>
        <v>Mar-2022</v>
      </c>
    </row>
    <row r="48" customFormat="false" ht="15" hidden="false" customHeight="true" outlineLevel="0" collapsed="false">
      <c r="A48" s="3" t="s">
        <v>125</v>
      </c>
      <c r="B48" s="4" t="n">
        <v>44633</v>
      </c>
      <c r="C48" s="3" t="s">
        <v>72</v>
      </c>
      <c r="D48" s="3" t="s">
        <v>35</v>
      </c>
      <c r="E48" s="3" t="s">
        <v>30</v>
      </c>
      <c r="F48" s="3" t="s">
        <v>126</v>
      </c>
      <c r="G48" s="5" t="s">
        <v>127</v>
      </c>
      <c r="H48" s="3" t="n">
        <v>4</v>
      </c>
      <c r="I48" s="6" t="n">
        <v>552</v>
      </c>
      <c r="J48" s="6" t="n">
        <v>400</v>
      </c>
      <c r="K48" s="3" t="n">
        <v>27</v>
      </c>
      <c r="L48" s="3" t="s">
        <v>26</v>
      </c>
      <c r="M48" s="6" t="n">
        <v>2208</v>
      </c>
      <c r="N48" s="6" t="n">
        <v>608</v>
      </c>
      <c r="O48" s="12" t="n">
        <f aca="false">N48/M48</f>
        <v>0.27536231884058</v>
      </c>
      <c r="P48" s="13" t="n">
        <f aca="false">YEAR(B48)</f>
        <v>2022</v>
      </c>
      <c r="Q48" s="13" t="str">
        <f aca="false">"Q"&amp;ROUNDUP(MONTH(B48)/3,0)</f>
        <v>Q1</v>
      </c>
      <c r="R48" s="13" t="str">
        <f aca="false">TEXT(B48,"MMM-YYYY")</f>
        <v>Mar-2022</v>
      </c>
    </row>
    <row r="49" customFormat="false" ht="15" hidden="false" customHeight="true" outlineLevel="0" collapsed="false">
      <c r="A49" s="7" t="s">
        <v>128</v>
      </c>
      <c r="B49" s="8" t="n">
        <v>44636</v>
      </c>
      <c r="C49" s="7" t="s">
        <v>15</v>
      </c>
      <c r="D49" s="7" t="s">
        <v>16</v>
      </c>
      <c r="E49" s="7" t="s">
        <v>77</v>
      </c>
      <c r="F49" s="7" t="s">
        <v>129</v>
      </c>
      <c r="G49" s="9" t="s">
        <v>130</v>
      </c>
      <c r="H49" s="7" t="n">
        <v>12</v>
      </c>
      <c r="I49" s="10" t="n">
        <v>158</v>
      </c>
      <c r="J49" s="10" t="n">
        <v>120</v>
      </c>
      <c r="K49" s="7" t="n">
        <v>8</v>
      </c>
      <c r="L49" s="7" t="s">
        <v>26</v>
      </c>
      <c r="M49" s="10" t="n">
        <v>1896</v>
      </c>
      <c r="N49" s="10" t="n">
        <v>456</v>
      </c>
      <c r="O49" s="14" t="n">
        <f aca="false">N49/M49</f>
        <v>0.240506329113924</v>
      </c>
      <c r="P49" s="15" t="n">
        <f aca="false">YEAR(B49)</f>
        <v>2022</v>
      </c>
      <c r="Q49" s="15" t="str">
        <f aca="false">"Q"&amp;ROUNDUP(MONTH(B49)/3,0)</f>
        <v>Q1</v>
      </c>
      <c r="R49" s="15" t="str">
        <f aca="false">TEXT(B49,"MMM-YYYY")</f>
        <v>Mar-2022</v>
      </c>
    </row>
    <row r="50" customFormat="false" ht="15" hidden="false" customHeight="true" outlineLevel="0" collapsed="false">
      <c r="A50" s="3" t="s">
        <v>131</v>
      </c>
      <c r="B50" s="4" t="n">
        <v>44637</v>
      </c>
      <c r="C50" s="3" t="s">
        <v>34</v>
      </c>
      <c r="D50" s="3" t="s">
        <v>35</v>
      </c>
      <c r="E50" s="3" t="s">
        <v>62</v>
      </c>
      <c r="F50" s="3" t="s">
        <v>63</v>
      </c>
      <c r="G50" s="5" t="s">
        <v>64</v>
      </c>
      <c r="H50" s="3" t="n">
        <v>8</v>
      </c>
      <c r="I50" s="6" t="n">
        <v>83</v>
      </c>
      <c r="J50" s="6" t="n">
        <v>60</v>
      </c>
      <c r="K50" s="3" t="n">
        <v>2</v>
      </c>
      <c r="L50" s="3" t="s">
        <v>26</v>
      </c>
      <c r="M50" s="6" t="n">
        <v>664</v>
      </c>
      <c r="N50" s="6" t="n">
        <v>184</v>
      </c>
      <c r="O50" s="12" t="n">
        <f aca="false">N50/M50</f>
        <v>0.27710843373494</v>
      </c>
      <c r="P50" s="13" t="n">
        <f aca="false">YEAR(B50)</f>
        <v>2022</v>
      </c>
      <c r="Q50" s="13" t="str">
        <f aca="false">"Q"&amp;ROUNDUP(MONTH(B50)/3,0)</f>
        <v>Q1</v>
      </c>
      <c r="R50" s="13" t="str">
        <f aca="false">TEXT(B50,"MMM-YYYY")</f>
        <v>Mar-2022</v>
      </c>
    </row>
    <row r="51" customFormat="false" ht="15" hidden="false" customHeight="true" outlineLevel="0" collapsed="false">
      <c r="A51" s="7" t="s">
        <v>132</v>
      </c>
      <c r="B51" s="8" t="n">
        <v>44637</v>
      </c>
      <c r="C51" s="7" t="s">
        <v>43</v>
      </c>
      <c r="D51" s="7" t="s">
        <v>16</v>
      </c>
      <c r="E51" s="7" t="s">
        <v>77</v>
      </c>
      <c r="F51" s="7" t="s">
        <v>129</v>
      </c>
      <c r="G51" s="9" t="s">
        <v>130</v>
      </c>
      <c r="H51" s="7" t="n">
        <v>2</v>
      </c>
      <c r="I51" s="10" t="n">
        <v>168</v>
      </c>
      <c r="J51" s="10" t="n">
        <v>120</v>
      </c>
      <c r="K51" s="7" t="n">
        <v>24</v>
      </c>
      <c r="L51" s="7" t="s">
        <v>26</v>
      </c>
      <c r="M51" s="10" t="n">
        <v>336</v>
      </c>
      <c r="N51" s="10" t="n">
        <v>96</v>
      </c>
      <c r="O51" s="14" t="n">
        <f aca="false">N51/M51</f>
        <v>0.285714285714286</v>
      </c>
      <c r="P51" s="15" t="n">
        <f aca="false">YEAR(B51)</f>
        <v>2022</v>
      </c>
      <c r="Q51" s="15" t="str">
        <f aca="false">"Q"&amp;ROUNDUP(MONTH(B51)/3,0)</f>
        <v>Q1</v>
      </c>
      <c r="R51" s="15" t="str">
        <f aca="false">TEXT(B51,"MMM-YYYY")</f>
        <v>Mar-2022</v>
      </c>
    </row>
    <row r="52" customFormat="false" ht="15" hidden="false" customHeight="true" outlineLevel="0" collapsed="false">
      <c r="A52" s="3" t="s">
        <v>133</v>
      </c>
      <c r="B52" s="4" t="n">
        <v>44638</v>
      </c>
      <c r="C52" s="3" t="s">
        <v>15</v>
      </c>
      <c r="D52" s="3" t="s">
        <v>16</v>
      </c>
      <c r="E52" s="3" t="s">
        <v>30</v>
      </c>
      <c r="F52" s="3" t="s">
        <v>126</v>
      </c>
      <c r="G52" s="5" t="s">
        <v>127</v>
      </c>
      <c r="H52" s="3" t="n">
        <v>12</v>
      </c>
      <c r="I52" s="6" t="n">
        <v>603</v>
      </c>
      <c r="J52" s="6" t="n">
        <v>400</v>
      </c>
      <c r="K52" s="3" t="n">
        <v>36</v>
      </c>
      <c r="L52" s="3" t="s">
        <v>20</v>
      </c>
      <c r="M52" s="6" t="n">
        <v>7236</v>
      </c>
      <c r="N52" s="6" t="n">
        <v>2436</v>
      </c>
      <c r="O52" s="12" t="n">
        <f aca="false">N52/M52</f>
        <v>0.33665008291874</v>
      </c>
      <c r="P52" s="13" t="n">
        <f aca="false">YEAR(B52)</f>
        <v>2022</v>
      </c>
      <c r="Q52" s="13" t="str">
        <f aca="false">"Q"&amp;ROUNDUP(MONTH(B52)/3,0)</f>
        <v>Q1</v>
      </c>
      <c r="R52" s="13" t="str">
        <f aca="false">TEXT(B52,"MMM-YYYY")</f>
        <v>Mar-2022</v>
      </c>
    </row>
    <row r="53" customFormat="false" ht="15" hidden="false" customHeight="true" outlineLevel="0" collapsed="false">
      <c r="A53" s="7" t="s">
        <v>134</v>
      </c>
      <c r="B53" s="8" t="n">
        <v>44638</v>
      </c>
      <c r="C53" s="7" t="s">
        <v>34</v>
      </c>
      <c r="D53" s="7" t="s">
        <v>35</v>
      </c>
      <c r="E53" s="7" t="s">
        <v>17</v>
      </c>
      <c r="F53" s="7" t="s">
        <v>66</v>
      </c>
      <c r="G53" s="9" t="s">
        <v>67</v>
      </c>
      <c r="H53" s="7" t="n">
        <v>11</v>
      </c>
      <c r="I53" s="10" t="n">
        <v>499</v>
      </c>
      <c r="J53" s="10" t="n">
        <v>350</v>
      </c>
      <c r="K53" s="7" t="n">
        <v>43</v>
      </c>
      <c r="L53" s="7" t="s">
        <v>26</v>
      </c>
      <c r="M53" s="10" t="n">
        <v>5489</v>
      </c>
      <c r="N53" s="10" t="n">
        <v>1639</v>
      </c>
      <c r="O53" s="14" t="n">
        <f aca="false">N53/M53</f>
        <v>0.298597194388778</v>
      </c>
      <c r="P53" s="15" t="n">
        <f aca="false">YEAR(B53)</f>
        <v>2022</v>
      </c>
      <c r="Q53" s="15" t="str">
        <f aca="false">"Q"&amp;ROUNDUP(MONTH(B53)/3,0)</f>
        <v>Q1</v>
      </c>
      <c r="R53" s="15" t="str">
        <f aca="false">TEXT(B53,"MMM-YYYY")</f>
        <v>Mar-2022</v>
      </c>
    </row>
    <row r="54" customFormat="false" ht="15" hidden="false" customHeight="true" outlineLevel="0" collapsed="false">
      <c r="A54" s="3" t="s">
        <v>135</v>
      </c>
      <c r="B54" s="4" t="n">
        <v>44640</v>
      </c>
      <c r="C54" s="3" t="s">
        <v>136</v>
      </c>
      <c r="D54" s="3" t="s">
        <v>35</v>
      </c>
      <c r="E54" s="3" t="s">
        <v>17</v>
      </c>
      <c r="F54" s="3" t="s">
        <v>59</v>
      </c>
      <c r="G54" s="5" t="s">
        <v>60</v>
      </c>
      <c r="H54" s="3" t="n">
        <v>3</v>
      </c>
      <c r="I54" s="6" t="n">
        <v>374</v>
      </c>
      <c r="J54" s="6" t="n">
        <v>280</v>
      </c>
      <c r="K54" s="3" t="n">
        <v>29</v>
      </c>
      <c r="L54" s="3" t="s">
        <v>20</v>
      </c>
      <c r="M54" s="6" t="n">
        <v>1122</v>
      </c>
      <c r="N54" s="6" t="n">
        <v>282</v>
      </c>
      <c r="O54" s="12" t="n">
        <f aca="false">N54/M54</f>
        <v>0.251336898395722</v>
      </c>
      <c r="P54" s="13" t="n">
        <f aca="false">YEAR(B54)</f>
        <v>2022</v>
      </c>
      <c r="Q54" s="13" t="str">
        <f aca="false">"Q"&amp;ROUNDUP(MONTH(B54)/3,0)</f>
        <v>Q1</v>
      </c>
      <c r="R54" s="13" t="str">
        <f aca="false">TEXT(B54,"MMM-YYYY")</f>
        <v>Mar-2022</v>
      </c>
    </row>
    <row r="55" customFormat="false" ht="15" hidden="false" customHeight="true" outlineLevel="0" collapsed="false">
      <c r="A55" s="7" t="s">
        <v>137</v>
      </c>
      <c r="B55" s="8" t="n">
        <v>44641</v>
      </c>
      <c r="C55" s="7" t="s">
        <v>58</v>
      </c>
      <c r="D55" s="7" t="s">
        <v>48</v>
      </c>
      <c r="E55" s="7" t="s">
        <v>30</v>
      </c>
      <c r="F55" s="7" t="s">
        <v>118</v>
      </c>
      <c r="G55" s="9" t="s">
        <v>119</v>
      </c>
      <c r="H55" s="7" t="n">
        <v>12</v>
      </c>
      <c r="I55" s="10" t="n">
        <v>412</v>
      </c>
      <c r="J55" s="10" t="n">
        <v>280</v>
      </c>
      <c r="K55" s="7" t="n">
        <v>6</v>
      </c>
      <c r="L55" s="7" t="s">
        <v>26</v>
      </c>
      <c r="M55" s="10" t="n">
        <v>4944</v>
      </c>
      <c r="N55" s="10" t="n">
        <v>1584</v>
      </c>
      <c r="O55" s="14" t="n">
        <f aca="false">N55/M55</f>
        <v>0.320388349514563</v>
      </c>
      <c r="P55" s="15" t="n">
        <f aca="false">YEAR(B55)</f>
        <v>2022</v>
      </c>
      <c r="Q55" s="15" t="str">
        <f aca="false">"Q"&amp;ROUNDUP(MONTH(B55)/3,0)</f>
        <v>Q1</v>
      </c>
      <c r="R55" s="15" t="str">
        <f aca="false">TEXT(B55,"MMM-YYYY")</f>
        <v>Mar-2022</v>
      </c>
    </row>
    <row r="56" customFormat="false" ht="15" hidden="false" customHeight="true" outlineLevel="0" collapsed="false">
      <c r="A56" s="3" t="s">
        <v>138</v>
      </c>
      <c r="B56" s="4" t="n">
        <v>44642</v>
      </c>
      <c r="C56" s="3" t="s">
        <v>111</v>
      </c>
      <c r="D56" s="3" t="s">
        <v>29</v>
      </c>
      <c r="E56" s="3" t="s">
        <v>62</v>
      </c>
      <c r="F56" s="3" t="s">
        <v>103</v>
      </c>
      <c r="G56" s="5" t="s">
        <v>104</v>
      </c>
      <c r="H56" s="3" t="n">
        <v>4</v>
      </c>
      <c r="I56" s="6" t="n">
        <v>117</v>
      </c>
      <c r="J56" s="6" t="n">
        <v>90</v>
      </c>
      <c r="K56" s="3" t="n">
        <v>19</v>
      </c>
      <c r="L56" s="3" t="s">
        <v>26</v>
      </c>
      <c r="M56" s="6" t="n">
        <v>468</v>
      </c>
      <c r="N56" s="6" t="n">
        <v>108</v>
      </c>
      <c r="O56" s="12" t="n">
        <f aca="false">N56/M56</f>
        <v>0.230769230769231</v>
      </c>
      <c r="P56" s="13" t="n">
        <f aca="false">YEAR(B56)</f>
        <v>2022</v>
      </c>
      <c r="Q56" s="13" t="str">
        <f aca="false">"Q"&amp;ROUNDUP(MONTH(B56)/3,0)</f>
        <v>Q1</v>
      </c>
      <c r="R56" s="13" t="str">
        <f aca="false">TEXT(B56,"MMM-YYYY")</f>
        <v>Mar-2022</v>
      </c>
    </row>
    <row r="57" customFormat="false" ht="15" hidden="false" customHeight="true" outlineLevel="0" collapsed="false">
      <c r="A57" s="7" t="s">
        <v>139</v>
      </c>
      <c r="B57" s="8" t="n">
        <v>44642</v>
      </c>
      <c r="C57" s="7" t="s">
        <v>43</v>
      </c>
      <c r="D57" s="7" t="s">
        <v>16</v>
      </c>
      <c r="E57" s="7" t="s">
        <v>30</v>
      </c>
      <c r="F57" s="7" t="s">
        <v>126</v>
      </c>
      <c r="G57" s="9" t="s">
        <v>127</v>
      </c>
      <c r="H57" s="7" t="n">
        <v>5</v>
      </c>
      <c r="I57" s="10" t="n">
        <v>587</v>
      </c>
      <c r="J57" s="10" t="n">
        <v>400</v>
      </c>
      <c r="K57" s="7" t="n">
        <v>23</v>
      </c>
      <c r="L57" s="7" t="s">
        <v>26</v>
      </c>
      <c r="M57" s="10" t="n">
        <v>2935</v>
      </c>
      <c r="N57" s="10" t="n">
        <v>935</v>
      </c>
      <c r="O57" s="14" t="n">
        <f aca="false">N57/M57</f>
        <v>0.318568994889268</v>
      </c>
      <c r="P57" s="15" t="n">
        <f aca="false">YEAR(B57)</f>
        <v>2022</v>
      </c>
      <c r="Q57" s="15" t="str">
        <f aca="false">"Q"&amp;ROUNDUP(MONTH(B57)/3,0)</f>
        <v>Q1</v>
      </c>
      <c r="R57" s="15" t="str">
        <f aca="false">TEXT(B57,"MMM-YYYY")</f>
        <v>Mar-2022</v>
      </c>
    </row>
    <row r="58" customFormat="false" ht="15" hidden="false" customHeight="true" outlineLevel="0" collapsed="false">
      <c r="A58" s="3" t="s">
        <v>140</v>
      </c>
      <c r="B58" s="4" t="n">
        <v>44644</v>
      </c>
      <c r="C58" s="3" t="s">
        <v>111</v>
      </c>
      <c r="D58" s="3" t="s">
        <v>29</v>
      </c>
      <c r="E58" s="3" t="s">
        <v>17</v>
      </c>
      <c r="F58" s="3" t="s">
        <v>59</v>
      </c>
      <c r="G58" s="5" t="s">
        <v>60</v>
      </c>
      <c r="H58" s="3" t="n">
        <v>12</v>
      </c>
      <c r="I58" s="6" t="n">
        <v>382</v>
      </c>
      <c r="J58" s="6" t="n">
        <v>280</v>
      </c>
      <c r="K58" s="3" t="n">
        <v>25</v>
      </c>
      <c r="L58" s="3" t="s">
        <v>20</v>
      </c>
      <c r="M58" s="6" t="n">
        <v>4584</v>
      </c>
      <c r="N58" s="6" t="n">
        <v>1224</v>
      </c>
      <c r="O58" s="12" t="n">
        <f aca="false">N58/M58</f>
        <v>0.267015706806283</v>
      </c>
      <c r="P58" s="13" t="n">
        <f aca="false">YEAR(B58)</f>
        <v>2022</v>
      </c>
      <c r="Q58" s="13" t="str">
        <f aca="false">"Q"&amp;ROUNDUP(MONTH(B58)/3,0)</f>
        <v>Q1</v>
      </c>
      <c r="R58" s="13" t="str">
        <f aca="false">TEXT(B58,"MMM-YYYY")</f>
        <v>Mar-2022</v>
      </c>
    </row>
    <row r="59" customFormat="false" ht="15" hidden="false" customHeight="true" outlineLevel="0" collapsed="false">
      <c r="A59" s="7" t="s">
        <v>141</v>
      </c>
      <c r="B59" s="8" t="n">
        <v>44649</v>
      </c>
      <c r="C59" s="7" t="s">
        <v>47</v>
      </c>
      <c r="D59" s="7" t="s">
        <v>48</v>
      </c>
      <c r="E59" s="7" t="s">
        <v>62</v>
      </c>
      <c r="F59" s="7" t="s">
        <v>103</v>
      </c>
      <c r="G59" s="9" t="s">
        <v>104</v>
      </c>
      <c r="H59" s="7" t="n">
        <v>1</v>
      </c>
      <c r="I59" s="10" t="n">
        <v>117</v>
      </c>
      <c r="J59" s="10" t="n">
        <v>90</v>
      </c>
      <c r="K59" s="7" t="n">
        <v>12</v>
      </c>
      <c r="L59" s="7" t="s">
        <v>26</v>
      </c>
      <c r="M59" s="10" t="n">
        <v>117</v>
      </c>
      <c r="N59" s="10" t="n">
        <v>27</v>
      </c>
      <c r="O59" s="14" t="n">
        <f aca="false">N59/M59</f>
        <v>0.230769230769231</v>
      </c>
      <c r="P59" s="15" t="n">
        <f aca="false">YEAR(B59)</f>
        <v>2022</v>
      </c>
      <c r="Q59" s="15" t="str">
        <f aca="false">"Q"&amp;ROUNDUP(MONTH(B59)/3,0)</f>
        <v>Q1</v>
      </c>
      <c r="R59" s="15" t="str">
        <f aca="false">TEXT(B59,"MMM-YYYY")</f>
        <v>Mar-2022</v>
      </c>
    </row>
    <row r="60" customFormat="false" ht="15" hidden="false" customHeight="true" outlineLevel="0" collapsed="false">
      <c r="A60" s="3" t="s">
        <v>142</v>
      </c>
      <c r="B60" s="4" t="n">
        <v>44652</v>
      </c>
      <c r="C60" s="3" t="s">
        <v>43</v>
      </c>
      <c r="D60" s="3" t="s">
        <v>16</v>
      </c>
      <c r="E60" s="3" t="s">
        <v>39</v>
      </c>
      <c r="F60" s="3" t="s">
        <v>143</v>
      </c>
      <c r="G60" s="5" t="s">
        <v>144</v>
      </c>
      <c r="H60" s="3" t="n">
        <v>6</v>
      </c>
      <c r="I60" s="6" t="n">
        <v>322</v>
      </c>
      <c r="J60" s="6" t="n">
        <v>280</v>
      </c>
      <c r="K60" s="3" t="n">
        <v>46</v>
      </c>
      <c r="L60" s="3" t="s">
        <v>20</v>
      </c>
      <c r="M60" s="6" t="n">
        <v>1932</v>
      </c>
      <c r="N60" s="6" t="n">
        <v>252</v>
      </c>
      <c r="O60" s="12" t="n">
        <f aca="false">N60/M60</f>
        <v>0.130434782608696</v>
      </c>
      <c r="P60" s="13" t="n">
        <f aca="false">YEAR(B60)</f>
        <v>2022</v>
      </c>
      <c r="Q60" s="13" t="str">
        <f aca="false">"Q"&amp;ROUNDUP(MONTH(B60)/3,0)</f>
        <v>Q2</v>
      </c>
      <c r="R60" s="13" t="str">
        <f aca="false">TEXT(B60,"MMM-YYYY")</f>
        <v>Apr-2022</v>
      </c>
    </row>
    <row r="61" customFormat="false" ht="15" hidden="false" customHeight="true" outlineLevel="0" collapsed="false">
      <c r="A61" s="7" t="s">
        <v>145</v>
      </c>
      <c r="B61" s="8" t="n">
        <v>44659</v>
      </c>
      <c r="C61" s="7" t="s">
        <v>94</v>
      </c>
      <c r="D61" s="7" t="s">
        <v>48</v>
      </c>
      <c r="E61" s="7" t="s">
        <v>77</v>
      </c>
      <c r="F61" s="7" t="s">
        <v>78</v>
      </c>
      <c r="G61" s="9" t="s">
        <v>79</v>
      </c>
      <c r="H61" s="7" t="n">
        <v>9</v>
      </c>
      <c r="I61" s="10" t="n">
        <v>1283</v>
      </c>
      <c r="J61" s="10" t="n">
        <v>900</v>
      </c>
      <c r="K61" s="7" t="n">
        <v>11</v>
      </c>
      <c r="L61" s="7" t="s">
        <v>26</v>
      </c>
      <c r="M61" s="10" t="n">
        <v>11547</v>
      </c>
      <c r="N61" s="10" t="n">
        <v>3447</v>
      </c>
      <c r="O61" s="14" t="n">
        <f aca="false">N61/M61</f>
        <v>0.298519095869057</v>
      </c>
      <c r="P61" s="15" t="n">
        <f aca="false">YEAR(B61)</f>
        <v>2022</v>
      </c>
      <c r="Q61" s="15" t="str">
        <f aca="false">"Q"&amp;ROUNDUP(MONTH(B61)/3,0)</f>
        <v>Q2</v>
      </c>
      <c r="R61" s="15" t="str">
        <f aca="false">TEXT(B61,"MMM-YYYY")</f>
        <v>Apr-2022</v>
      </c>
    </row>
    <row r="62" customFormat="false" ht="15" hidden="false" customHeight="true" outlineLevel="0" collapsed="false">
      <c r="A62" s="3" t="s">
        <v>146</v>
      </c>
      <c r="B62" s="4" t="n">
        <v>44659</v>
      </c>
      <c r="C62" s="3" t="s">
        <v>43</v>
      </c>
      <c r="D62" s="3" t="s">
        <v>16</v>
      </c>
      <c r="E62" s="3" t="s">
        <v>23</v>
      </c>
      <c r="F62" s="3" t="s">
        <v>24</v>
      </c>
      <c r="G62" s="5" t="s">
        <v>25</v>
      </c>
      <c r="H62" s="3" t="n">
        <v>11</v>
      </c>
      <c r="I62" s="6" t="n">
        <v>442</v>
      </c>
      <c r="J62" s="6" t="n">
        <v>350</v>
      </c>
      <c r="K62" s="3" t="n">
        <v>42</v>
      </c>
      <c r="L62" s="3" t="s">
        <v>20</v>
      </c>
      <c r="M62" s="6" t="n">
        <v>4862</v>
      </c>
      <c r="N62" s="6" t="n">
        <v>1012</v>
      </c>
      <c r="O62" s="12" t="n">
        <f aca="false">N62/M62</f>
        <v>0.208144796380091</v>
      </c>
      <c r="P62" s="13" t="n">
        <f aca="false">YEAR(B62)</f>
        <v>2022</v>
      </c>
      <c r="Q62" s="13" t="str">
        <f aca="false">"Q"&amp;ROUNDUP(MONTH(B62)/3,0)</f>
        <v>Q2</v>
      </c>
      <c r="R62" s="13" t="str">
        <f aca="false">TEXT(B62,"MMM-YYYY")</f>
        <v>Apr-2022</v>
      </c>
    </row>
    <row r="63" customFormat="false" ht="15" hidden="false" customHeight="true" outlineLevel="0" collapsed="false">
      <c r="A63" s="7" t="s">
        <v>147</v>
      </c>
      <c r="B63" s="8" t="n">
        <v>44660</v>
      </c>
      <c r="C63" s="7" t="s">
        <v>72</v>
      </c>
      <c r="D63" s="7" t="s">
        <v>35</v>
      </c>
      <c r="E63" s="7" t="s">
        <v>62</v>
      </c>
      <c r="F63" s="7" t="s">
        <v>63</v>
      </c>
      <c r="G63" s="9" t="s">
        <v>64</v>
      </c>
      <c r="H63" s="7" t="n">
        <v>14</v>
      </c>
      <c r="I63" s="10" t="n">
        <v>77</v>
      </c>
      <c r="J63" s="10" t="n">
        <v>60</v>
      </c>
      <c r="K63" s="7" t="n">
        <v>4</v>
      </c>
      <c r="L63" s="7" t="s">
        <v>20</v>
      </c>
      <c r="M63" s="10" t="n">
        <v>1078</v>
      </c>
      <c r="N63" s="10" t="n">
        <v>238</v>
      </c>
      <c r="O63" s="14" t="n">
        <f aca="false">N63/M63</f>
        <v>0.220779220779221</v>
      </c>
      <c r="P63" s="15" t="n">
        <f aca="false">YEAR(B63)</f>
        <v>2022</v>
      </c>
      <c r="Q63" s="15" t="str">
        <f aca="false">"Q"&amp;ROUNDUP(MONTH(B63)/3,0)</f>
        <v>Q2</v>
      </c>
      <c r="R63" s="15" t="str">
        <f aca="false">TEXT(B63,"MMM-YYYY")</f>
        <v>Apr-2022</v>
      </c>
    </row>
    <row r="64" customFormat="false" ht="15" hidden="false" customHeight="true" outlineLevel="0" collapsed="false">
      <c r="A64" s="3" t="s">
        <v>148</v>
      </c>
      <c r="B64" s="4" t="n">
        <v>44661</v>
      </c>
      <c r="C64" s="3" t="s">
        <v>58</v>
      </c>
      <c r="D64" s="3" t="s">
        <v>48</v>
      </c>
      <c r="E64" s="3" t="s">
        <v>17</v>
      </c>
      <c r="F64" s="3" t="s">
        <v>66</v>
      </c>
      <c r="G64" s="5" t="s">
        <v>67</v>
      </c>
      <c r="H64" s="3" t="n">
        <v>4</v>
      </c>
      <c r="I64" s="6" t="n">
        <v>479</v>
      </c>
      <c r="J64" s="6" t="n">
        <v>350</v>
      </c>
      <c r="K64" s="3" t="n">
        <v>3</v>
      </c>
      <c r="L64" s="3" t="s">
        <v>26</v>
      </c>
      <c r="M64" s="6" t="n">
        <v>1916</v>
      </c>
      <c r="N64" s="6" t="n">
        <v>516</v>
      </c>
      <c r="O64" s="12" t="n">
        <f aca="false">N64/M64</f>
        <v>0.269311064718163</v>
      </c>
      <c r="P64" s="13" t="n">
        <f aca="false">YEAR(B64)</f>
        <v>2022</v>
      </c>
      <c r="Q64" s="13" t="str">
        <f aca="false">"Q"&amp;ROUNDUP(MONTH(B64)/3,0)</f>
        <v>Q2</v>
      </c>
      <c r="R64" s="13" t="str">
        <f aca="false">TEXT(B64,"MMM-YYYY")</f>
        <v>Apr-2022</v>
      </c>
    </row>
    <row r="65" customFormat="false" ht="15" hidden="false" customHeight="true" outlineLevel="0" collapsed="false">
      <c r="A65" s="7" t="s">
        <v>149</v>
      </c>
      <c r="B65" s="8" t="n">
        <v>44665</v>
      </c>
      <c r="C65" s="7" t="s">
        <v>43</v>
      </c>
      <c r="D65" s="7" t="s">
        <v>16</v>
      </c>
      <c r="E65" s="7" t="s">
        <v>23</v>
      </c>
      <c r="F65" s="7" t="s">
        <v>90</v>
      </c>
      <c r="G65" s="9" t="s">
        <v>91</v>
      </c>
      <c r="H65" s="7" t="n">
        <v>2</v>
      </c>
      <c r="I65" s="10" t="n">
        <v>758</v>
      </c>
      <c r="J65" s="10" t="n">
        <v>600</v>
      </c>
      <c r="K65" s="7" t="n">
        <v>48</v>
      </c>
      <c r="L65" s="7" t="s">
        <v>26</v>
      </c>
      <c r="M65" s="10" t="n">
        <v>1516</v>
      </c>
      <c r="N65" s="10" t="n">
        <v>316</v>
      </c>
      <c r="O65" s="14" t="n">
        <f aca="false">N65/M65</f>
        <v>0.20844327176781</v>
      </c>
      <c r="P65" s="15" t="n">
        <f aca="false">YEAR(B65)</f>
        <v>2022</v>
      </c>
      <c r="Q65" s="15" t="str">
        <f aca="false">"Q"&amp;ROUNDUP(MONTH(B65)/3,0)</f>
        <v>Q2</v>
      </c>
      <c r="R65" s="15" t="str">
        <f aca="false">TEXT(B65,"MMM-YYYY")</f>
        <v>Apr-2022</v>
      </c>
    </row>
    <row r="66" customFormat="false" ht="15" hidden="false" customHeight="true" outlineLevel="0" collapsed="false">
      <c r="A66" s="3" t="s">
        <v>150</v>
      </c>
      <c r="B66" s="4" t="n">
        <v>44665</v>
      </c>
      <c r="C66" s="3" t="s">
        <v>58</v>
      </c>
      <c r="D66" s="3" t="s">
        <v>48</v>
      </c>
      <c r="E66" s="3" t="s">
        <v>23</v>
      </c>
      <c r="F66" s="3" t="s">
        <v>24</v>
      </c>
      <c r="G66" s="5" t="s">
        <v>25</v>
      </c>
      <c r="H66" s="3" t="n">
        <v>3</v>
      </c>
      <c r="I66" s="6" t="n">
        <v>446</v>
      </c>
      <c r="J66" s="6" t="n">
        <v>350</v>
      </c>
      <c r="K66" s="3" t="n">
        <v>5</v>
      </c>
      <c r="L66" s="3" t="s">
        <v>26</v>
      </c>
      <c r="M66" s="6" t="n">
        <v>1338</v>
      </c>
      <c r="N66" s="6" t="n">
        <v>288</v>
      </c>
      <c r="O66" s="12" t="n">
        <f aca="false">N66/M66</f>
        <v>0.2152466367713</v>
      </c>
      <c r="P66" s="13" t="n">
        <f aca="false">YEAR(B66)</f>
        <v>2022</v>
      </c>
      <c r="Q66" s="13" t="str">
        <f aca="false">"Q"&amp;ROUNDUP(MONTH(B66)/3,0)</f>
        <v>Q2</v>
      </c>
      <c r="R66" s="13" t="str">
        <f aca="false">TEXT(B66,"MMM-YYYY")</f>
        <v>Apr-2022</v>
      </c>
    </row>
    <row r="67" customFormat="false" ht="15" hidden="false" customHeight="true" outlineLevel="0" collapsed="false">
      <c r="A67" s="7" t="s">
        <v>151</v>
      </c>
      <c r="B67" s="8" t="n">
        <v>44665</v>
      </c>
      <c r="C67" s="7" t="s">
        <v>52</v>
      </c>
      <c r="D67" s="7" t="s">
        <v>29</v>
      </c>
      <c r="E67" s="7" t="s">
        <v>77</v>
      </c>
      <c r="F67" s="7" t="s">
        <v>152</v>
      </c>
      <c r="G67" s="9" t="s">
        <v>153</v>
      </c>
      <c r="H67" s="7" t="n">
        <v>11</v>
      </c>
      <c r="I67" s="10" t="n">
        <v>469</v>
      </c>
      <c r="J67" s="10" t="n">
        <v>350</v>
      </c>
      <c r="K67" s="7" t="n">
        <v>25</v>
      </c>
      <c r="L67" s="7" t="s">
        <v>20</v>
      </c>
      <c r="M67" s="10" t="n">
        <v>5159</v>
      </c>
      <c r="N67" s="10" t="n">
        <v>1309</v>
      </c>
      <c r="O67" s="14" t="n">
        <f aca="false">N67/M67</f>
        <v>0.253731343283582</v>
      </c>
      <c r="P67" s="15" t="n">
        <f aca="false">YEAR(B67)</f>
        <v>2022</v>
      </c>
      <c r="Q67" s="15" t="str">
        <f aca="false">"Q"&amp;ROUNDUP(MONTH(B67)/3,0)</f>
        <v>Q2</v>
      </c>
      <c r="R67" s="15" t="str">
        <f aca="false">TEXT(B67,"MMM-YYYY")</f>
        <v>Apr-2022</v>
      </c>
    </row>
    <row r="68" customFormat="false" ht="15" hidden="false" customHeight="true" outlineLevel="0" collapsed="false">
      <c r="A68" s="3" t="s">
        <v>154</v>
      </c>
      <c r="B68" s="4" t="n">
        <v>44668</v>
      </c>
      <c r="C68" s="3" t="s">
        <v>72</v>
      </c>
      <c r="D68" s="3" t="s">
        <v>35</v>
      </c>
      <c r="E68" s="3" t="s">
        <v>62</v>
      </c>
      <c r="F68" s="3" t="s">
        <v>103</v>
      </c>
      <c r="G68" s="5" t="s">
        <v>104</v>
      </c>
      <c r="H68" s="3" t="n">
        <v>14</v>
      </c>
      <c r="I68" s="6" t="n">
        <v>116</v>
      </c>
      <c r="J68" s="6" t="n">
        <v>90</v>
      </c>
      <c r="K68" s="3" t="n">
        <v>25</v>
      </c>
      <c r="L68" s="3" t="s">
        <v>26</v>
      </c>
      <c r="M68" s="6" t="n">
        <v>1624</v>
      </c>
      <c r="N68" s="6" t="n">
        <v>364</v>
      </c>
      <c r="O68" s="12" t="n">
        <f aca="false">N68/M68</f>
        <v>0.224137931034483</v>
      </c>
      <c r="P68" s="13" t="n">
        <f aca="false">YEAR(B68)</f>
        <v>2022</v>
      </c>
      <c r="Q68" s="13" t="str">
        <f aca="false">"Q"&amp;ROUNDUP(MONTH(B68)/3,0)</f>
        <v>Q2</v>
      </c>
      <c r="R68" s="13" t="str">
        <f aca="false">TEXT(B68,"MMM-YYYY")</f>
        <v>Apr-2022</v>
      </c>
    </row>
    <row r="69" customFormat="false" ht="15" hidden="false" customHeight="true" outlineLevel="0" collapsed="false">
      <c r="A69" s="7" t="s">
        <v>155</v>
      </c>
      <c r="B69" s="8" t="n">
        <v>44668</v>
      </c>
      <c r="C69" s="7" t="s">
        <v>15</v>
      </c>
      <c r="D69" s="7" t="s">
        <v>16</v>
      </c>
      <c r="E69" s="7" t="s">
        <v>30</v>
      </c>
      <c r="F69" s="7" t="s">
        <v>31</v>
      </c>
      <c r="G69" s="9" t="s">
        <v>32</v>
      </c>
      <c r="H69" s="7" t="n">
        <v>13</v>
      </c>
      <c r="I69" s="10" t="n">
        <v>1708</v>
      </c>
      <c r="J69" s="10" t="n">
        <v>1200</v>
      </c>
      <c r="K69" s="7" t="n">
        <v>20</v>
      </c>
      <c r="L69" s="7" t="s">
        <v>26</v>
      </c>
      <c r="M69" s="10" t="n">
        <v>22204</v>
      </c>
      <c r="N69" s="10" t="n">
        <v>6604</v>
      </c>
      <c r="O69" s="14" t="n">
        <f aca="false">N69/M69</f>
        <v>0.297423887587822</v>
      </c>
      <c r="P69" s="15" t="n">
        <f aca="false">YEAR(B69)</f>
        <v>2022</v>
      </c>
      <c r="Q69" s="15" t="str">
        <f aca="false">"Q"&amp;ROUNDUP(MONTH(B69)/3,0)</f>
        <v>Q2</v>
      </c>
      <c r="R69" s="15" t="str">
        <f aca="false">TEXT(B69,"MMM-YYYY")</f>
        <v>Apr-2022</v>
      </c>
    </row>
    <row r="70" customFormat="false" ht="15" hidden="false" customHeight="true" outlineLevel="0" collapsed="false">
      <c r="A70" s="3" t="s">
        <v>156</v>
      </c>
      <c r="B70" s="4" t="n">
        <v>44668</v>
      </c>
      <c r="C70" s="3" t="s">
        <v>15</v>
      </c>
      <c r="D70" s="3" t="s">
        <v>16</v>
      </c>
      <c r="E70" s="3" t="s">
        <v>77</v>
      </c>
      <c r="F70" s="3" t="s">
        <v>81</v>
      </c>
      <c r="G70" s="5" t="s">
        <v>82</v>
      </c>
      <c r="H70" s="3" t="n">
        <v>11</v>
      </c>
      <c r="I70" s="6" t="n">
        <v>804</v>
      </c>
      <c r="J70" s="6" t="n">
        <v>600</v>
      </c>
      <c r="K70" s="3" t="n">
        <v>49</v>
      </c>
      <c r="L70" s="3" t="s">
        <v>26</v>
      </c>
      <c r="M70" s="6" t="n">
        <v>8844</v>
      </c>
      <c r="N70" s="6" t="n">
        <v>2244</v>
      </c>
      <c r="O70" s="12" t="n">
        <f aca="false">N70/M70</f>
        <v>0.253731343283582</v>
      </c>
      <c r="P70" s="13" t="n">
        <f aca="false">YEAR(B70)</f>
        <v>2022</v>
      </c>
      <c r="Q70" s="13" t="str">
        <f aca="false">"Q"&amp;ROUNDUP(MONTH(B70)/3,0)</f>
        <v>Q2</v>
      </c>
      <c r="R70" s="13" t="str">
        <f aca="false">TEXT(B70,"MMM-YYYY")</f>
        <v>Apr-2022</v>
      </c>
    </row>
    <row r="71" customFormat="false" ht="15" hidden="false" customHeight="true" outlineLevel="0" collapsed="false">
      <c r="A71" s="7" t="s">
        <v>157</v>
      </c>
      <c r="B71" s="8" t="n">
        <v>44671</v>
      </c>
      <c r="C71" s="7" t="s">
        <v>34</v>
      </c>
      <c r="D71" s="7" t="s">
        <v>35</v>
      </c>
      <c r="E71" s="7" t="s">
        <v>77</v>
      </c>
      <c r="F71" s="7" t="s">
        <v>78</v>
      </c>
      <c r="G71" s="9" t="s">
        <v>79</v>
      </c>
      <c r="H71" s="7" t="n">
        <v>4</v>
      </c>
      <c r="I71" s="10" t="n">
        <v>1241</v>
      </c>
      <c r="J71" s="10" t="n">
        <v>900</v>
      </c>
      <c r="K71" s="7" t="n">
        <v>47</v>
      </c>
      <c r="L71" s="7" t="s">
        <v>26</v>
      </c>
      <c r="M71" s="10" t="n">
        <v>4964</v>
      </c>
      <c r="N71" s="10" t="n">
        <v>1364</v>
      </c>
      <c r="O71" s="14" t="n">
        <f aca="false">N71/M71</f>
        <v>0.27477840451249</v>
      </c>
      <c r="P71" s="15" t="n">
        <f aca="false">YEAR(B71)</f>
        <v>2022</v>
      </c>
      <c r="Q71" s="15" t="str">
        <f aca="false">"Q"&amp;ROUNDUP(MONTH(B71)/3,0)</f>
        <v>Q2</v>
      </c>
      <c r="R71" s="15" t="str">
        <f aca="false">TEXT(B71,"MMM-YYYY")</f>
        <v>Apr-2022</v>
      </c>
    </row>
    <row r="72" customFormat="false" ht="15" hidden="false" customHeight="true" outlineLevel="0" collapsed="false">
      <c r="A72" s="3" t="s">
        <v>158</v>
      </c>
      <c r="B72" s="4" t="n">
        <v>44671</v>
      </c>
      <c r="C72" s="3" t="s">
        <v>72</v>
      </c>
      <c r="D72" s="3" t="s">
        <v>35</v>
      </c>
      <c r="E72" s="3" t="s">
        <v>30</v>
      </c>
      <c r="F72" s="3" t="s">
        <v>118</v>
      </c>
      <c r="G72" s="5" t="s">
        <v>119</v>
      </c>
      <c r="H72" s="3" t="n">
        <v>11</v>
      </c>
      <c r="I72" s="6" t="n">
        <v>415</v>
      </c>
      <c r="J72" s="6" t="n">
        <v>280</v>
      </c>
      <c r="K72" s="3" t="n">
        <v>30</v>
      </c>
      <c r="L72" s="3" t="s">
        <v>26</v>
      </c>
      <c r="M72" s="6" t="n">
        <v>4565</v>
      </c>
      <c r="N72" s="6" t="n">
        <v>1485</v>
      </c>
      <c r="O72" s="12" t="n">
        <f aca="false">N72/M72</f>
        <v>0.325301204819277</v>
      </c>
      <c r="P72" s="13" t="n">
        <f aca="false">YEAR(B72)</f>
        <v>2022</v>
      </c>
      <c r="Q72" s="13" t="str">
        <f aca="false">"Q"&amp;ROUNDUP(MONTH(B72)/3,0)</f>
        <v>Q2</v>
      </c>
      <c r="R72" s="13" t="str">
        <f aca="false">TEXT(B72,"MMM-YYYY")</f>
        <v>Apr-2022</v>
      </c>
    </row>
    <row r="73" customFormat="false" ht="15" hidden="false" customHeight="true" outlineLevel="0" collapsed="false">
      <c r="A73" s="7" t="s">
        <v>159</v>
      </c>
      <c r="B73" s="8" t="n">
        <v>44676</v>
      </c>
      <c r="C73" s="7" t="s">
        <v>94</v>
      </c>
      <c r="D73" s="7" t="s">
        <v>48</v>
      </c>
      <c r="E73" s="7" t="s">
        <v>23</v>
      </c>
      <c r="F73" s="7" t="s">
        <v>90</v>
      </c>
      <c r="G73" s="9" t="s">
        <v>91</v>
      </c>
      <c r="H73" s="7" t="n">
        <v>12</v>
      </c>
      <c r="I73" s="10" t="n">
        <v>728</v>
      </c>
      <c r="J73" s="10" t="n">
        <v>600</v>
      </c>
      <c r="K73" s="7" t="n">
        <v>10</v>
      </c>
      <c r="L73" s="7" t="s">
        <v>26</v>
      </c>
      <c r="M73" s="10" t="n">
        <v>8736</v>
      </c>
      <c r="N73" s="10" t="n">
        <v>1536</v>
      </c>
      <c r="O73" s="14" t="n">
        <f aca="false">N73/M73</f>
        <v>0.175824175824176</v>
      </c>
      <c r="P73" s="15" t="n">
        <f aca="false">YEAR(B73)</f>
        <v>2022</v>
      </c>
      <c r="Q73" s="15" t="str">
        <f aca="false">"Q"&amp;ROUNDUP(MONTH(B73)/3,0)</f>
        <v>Q2</v>
      </c>
      <c r="R73" s="15" t="str">
        <f aca="false">TEXT(B73,"MMM-YYYY")</f>
        <v>Apr-2022</v>
      </c>
    </row>
    <row r="74" customFormat="false" ht="15" hidden="false" customHeight="true" outlineLevel="0" collapsed="false">
      <c r="A74" s="3" t="s">
        <v>160</v>
      </c>
      <c r="B74" s="4" t="n">
        <v>44678</v>
      </c>
      <c r="C74" s="3" t="s">
        <v>111</v>
      </c>
      <c r="D74" s="3" t="s">
        <v>29</v>
      </c>
      <c r="E74" s="3" t="s">
        <v>39</v>
      </c>
      <c r="F74" s="3" t="s">
        <v>161</v>
      </c>
      <c r="G74" s="5" t="s">
        <v>162</v>
      </c>
      <c r="H74" s="3" t="n">
        <v>13</v>
      </c>
      <c r="I74" s="6" t="n">
        <v>402</v>
      </c>
      <c r="J74" s="6" t="n">
        <v>350</v>
      </c>
      <c r="K74" s="3" t="n">
        <v>10</v>
      </c>
      <c r="L74" s="3" t="s">
        <v>20</v>
      </c>
      <c r="M74" s="6" t="n">
        <v>5226</v>
      </c>
      <c r="N74" s="6" t="n">
        <v>676</v>
      </c>
      <c r="O74" s="12" t="n">
        <f aca="false">N74/M74</f>
        <v>0.129353233830846</v>
      </c>
      <c r="P74" s="13" t="n">
        <f aca="false">YEAR(B74)</f>
        <v>2022</v>
      </c>
      <c r="Q74" s="13" t="str">
        <f aca="false">"Q"&amp;ROUNDUP(MONTH(B74)/3,0)</f>
        <v>Q2</v>
      </c>
      <c r="R74" s="13" t="str">
        <f aca="false">TEXT(B74,"MMM-YYYY")</f>
        <v>Apr-2022</v>
      </c>
    </row>
    <row r="75" customFormat="false" ht="15" hidden="false" customHeight="true" outlineLevel="0" collapsed="false">
      <c r="A75" s="7" t="s">
        <v>163</v>
      </c>
      <c r="B75" s="8" t="n">
        <v>44678</v>
      </c>
      <c r="C75" s="7" t="s">
        <v>47</v>
      </c>
      <c r="D75" s="7" t="s">
        <v>48</v>
      </c>
      <c r="E75" s="7" t="s">
        <v>62</v>
      </c>
      <c r="F75" s="7" t="s">
        <v>103</v>
      </c>
      <c r="G75" s="9" t="s">
        <v>104</v>
      </c>
      <c r="H75" s="7" t="n">
        <v>1</v>
      </c>
      <c r="I75" s="10" t="n">
        <v>118</v>
      </c>
      <c r="J75" s="10" t="n">
        <v>90</v>
      </c>
      <c r="K75" s="7" t="n">
        <v>30</v>
      </c>
      <c r="L75" s="7" t="s">
        <v>26</v>
      </c>
      <c r="M75" s="10" t="n">
        <v>118</v>
      </c>
      <c r="N75" s="10" t="n">
        <v>28</v>
      </c>
      <c r="O75" s="14" t="n">
        <f aca="false">N75/M75</f>
        <v>0.23728813559322</v>
      </c>
      <c r="P75" s="15" t="n">
        <f aca="false">YEAR(B75)</f>
        <v>2022</v>
      </c>
      <c r="Q75" s="15" t="str">
        <f aca="false">"Q"&amp;ROUNDUP(MONTH(B75)/3,0)</f>
        <v>Q2</v>
      </c>
      <c r="R75" s="15" t="str">
        <f aca="false">TEXT(B75,"MMM-YYYY")</f>
        <v>Apr-2022</v>
      </c>
    </row>
    <row r="76" customFormat="false" ht="15" hidden="false" customHeight="true" outlineLevel="0" collapsed="false">
      <c r="A76" s="3" t="s">
        <v>164</v>
      </c>
      <c r="B76" s="4" t="n">
        <v>44680</v>
      </c>
      <c r="C76" s="3" t="s">
        <v>136</v>
      </c>
      <c r="D76" s="3" t="s">
        <v>35</v>
      </c>
      <c r="E76" s="3" t="s">
        <v>77</v>
      </c>
      <c r="F76" s="3" t="s">
        <v>129</v>
      </c>
      <c r="G76" s="5" t="s">
        <v>130</v>
      </c>
      <c r="H76" s="3" t="n">
        <v>14</v>
      </c>
      <c r="I76" s="6" t="n">
        <v>164</v>
      </c>
      <c r="J76" s="6" t="n">
        <v>120</v>
      </c>
      <c r="K76" s="3" t="n">
        <v>27</v>
      </c>
      <c r="L76" s="3" t="s">
        <v>26</v>
      </c>
      <c r="M76" s="6" t="n">
        <v>2296</v>
      </c>
      <c r="N76" s="6" t="n">
        <v>616</v>
      </c>
      <c r="O76" s="12" t="n">
        <f aca="false">N76/M76</f>
        <v>0.268292682926829</v>
      </c>
      <c r="P76" s="13" t="n">
        <f aca="false">YEAR(B76)</f>
        <v>2022</v>
      </c>
      <c r="Q76" s="13" t="str">
        <f aca="false">"Q"&amp;ROUNDUP(MONTH(B76)/3,0)</f>
        <v>Q2</v>
      </c>
      <c r="R76" s="13" t="str">
        <f aca="false">TEXT(B76,"MMM-YYYY")</f>
        <v>Apr-2022</v>
      </c>
    </row>
    <row r="77" customFormat="false" ht="15" hidden="false" customHeight="true" outlineLevel="0" collapsed="false">
      <c r="A77" s="7" t="s">
        <v>165</v>
      </c>
      <c r="B77" s="8" t="n">
        <v>44683</v>
      </c>
      <c r="C77" s="7" t="s">
        <v>22</v>
      </c>
      <c r="D77" s="7" t="s">
        <v>16</v>
      </c>
      <c r="E77" s="7" t="s">
        <v>17</v>
      </c>
      <c r="F77" s="7" t="s">
        <v>59</v>
      </c>
      <c r="G77" s="9" t="s">
        <v>60</v>
      </c>
      <c r="H77" s="7" t="n">
        <v>9</v>
      </c>
      <c r="I77" s="10" t="n">
        <v>390</v>
      </c>
      <c r="J77" s="10" t="n">
        <v>280</v>
      </c>
      <c r="K77" s="7" t="n">
        <v>45</v>
      </c>
      <c r="L77" s="7" t="s">
        <v>26</v>
      </c>
      <c r="M77" s="10" t="n">
        <v>3510</v>
      </c>
      <c r="N77" s="10" t="n">
        <v>990</v>
      </c>
      <c r="O77" s="14" t="n">
        <f aca="false">N77/M77</f>
        <v>0.282051282051282</v>
      </c>
      <c r="P77" s="15" t="n">
        <f aca="false">YEAR(B77)</f>
        <v>2022</v>
      </c>
      <c r="Q77" s="15" t="str">
        <f aca="false">"Q"&amp;ROUNDUP(MONTH(B77)/3,0)</f>
        <v>Q2</v>
      </c>
      <c r="R77" s="15" t="str">
        <f aca="false">TEXT(B77,"MMM-YYYY")</f>
        <v>May-2022</v>
      </c>
    </row>
    <row r="78" customFormat="false" ht="15" hidden="false" customHeight="true" outlineLevel="0" collapsed="false">
      <c r="A78" s="3" t="s">
        <v>166</v>
      </c>
      <c r="B78" s="4" t="n">
        <v>44683</v>
      </c>
      <c r="C78" s="3" t="s">
        <v>111</v>
      </c>
      <c r="D78" s="3" t="s">
        <v>29</v>
      </c>
      <c r="E78" s="3" t="s">
        <v>17</v>
      </c>
      <c r="F78" s="3" t="s">
        <v>54</v>
      </c>
      <c r="G78" s="5" t="s">
        <v>55</v>
      </c>
      <c r="H78" s="3" t="n">
        <v>7</v>
      </c>
      <c r="I78" s="6" t="n">
        <v>638</v>
      </c>
      <c r="J78" s="6" t="n">
        <v>450</v>
      </c>
      <c r="K78" s="3" t="n">
        <v>7</v>
      </c>
      <c r="L78" s="3" t="s">
        <v>20</v>
      </c>
      <c r="M78" s="6" t="n">
        <v>4466</v>
      </c>
      <c r="N78" s="6" t="n">
        <v>1316</v>
      </c>
      <c r="O78" s="12" t="n">
        <f aca="false">N78/M78</f>
        <v>0.294670846394984</v>
      </c>
      <c r="P78" s="13" t="n">
        <f aca="false">YEAR(B78)</f>
        <v>2022</v>
      </c>
      <c r="Q78" s="13" t="str">
        <f aca="false">"Q"&amp;ROUNDUP(MONTH(B78)/3,0)</f>
        <v>Q2</v>
      </c>
      <c r="R78" s="13" t="str">
        <f aca="false">TEXT(B78,"MMM-YYYY")</f>
        <v>May-2022</v>
      </c>
    </row>
    <row r="79" customFormat="false" ht="15" hidden="false" customHeight="true" outlineLevel="0" collapsed="false">
      <c r="A79" s="7" t="s">
        <v>167</v>
      </c>
      <c r="B79" s="8" t="n">
        <v>44685</v>
      </c>
      <c r="C79" s="7" t="s">
        <v>94</v>
      </c>
      <c r="D79" s="7" t="s">
        <v>48</v>
      </c>
      <c r="E79" s="7" t="s">
        <v>30</v>
      </c>
      <c r="F79" s="7" t="s">
        <v>31</v>
      </c>
      <c r="G79" s="9" t="s">
        <v>32</v>
      </c>
      <c r="H79" s="7" t="n">
        <v>1</v>
      </c>
      <c r="I79" s="10" t="n">
        <v>1771</v>
      </c>
      <c r="J79" s="10" t="n">
        <v>1200</v>
      </c>
      <c r="K79" s="7" t="n">
        <v>50</v>
      </c>
      <c r="L79" s="7" t="s">
        <v>26</v>
      </c>
      <c r="M79" s="10" t="n">
        <v>1771</v>
      </c>
      <c r="N79" s="10" t="n">
        <v>571</v>
      </c>
      <c r="O79" s="14" t="n">
        <f aca="false">N79/M79</f>
        <v>0.322416713721062</v>
      </c>
      <c r="P79" s="15" t="n">
        <f aca="false">YEAR(B79)</f>
        <v>2022</v>
      </c>
      <c r="Q79" s="15" t="str">
        <f aca="false">"Q"&amp;ROUNDUP(MONTH(B79)/3,0)</f>
        <v>Q2</v>
      </c>
      <c r="R79" s="15" t="str">
        <f aca="false">TEXT(B79,"MMM-YYYY")</f>
        <v>May-2022</v>
      </c>
    </row>
    <row r="80" customFormat="false" ht="15" hidden="false" customHeight="true" outlineLevel="0" collapsed="false">
      <c r="A80" s="3" t="s">
        <v>168</v>
      </c>
      <c r="B80" s="4" t="n">
        <v>44686</v>
      </c>
      <c r="C80" s="3" t="s">
        <v>28</v>
      </c>
      <c r="D80" s="3" t="s">
        <v>29</v>
      </c>
      <c r="E80" s="3" t="s">
        <v>39</v>
      </c>
      <c r="F80" s="3" t="s">
        <v>161</v>
      </c>
      <c r="G80" s="5" t="s">
        <v>162</v>
      </c>
      <c r="H80" s="3" t="n">
        <v>12</v>
      </c>
      <c r="I80" s="6" t="n">
        <v>428</v>
      </c>
      <c r="J80" s="6" t="n">
        <v>350</v>
      </c>
      <c r="K80" s="3" t="n">
        <v>29</v>
      </c>
      <c r="L80" s="3" t="s">
        <v>26</v>
      </c>
      <c r="M80" s="6" t="n">
        <v>5136</v>
      </c>
      <c r="N80" s="6" t="n">
        <v>936</v>
      </c>
      <c r="O80" s="12" t="n">
        <f aca="false">N80/M80</f>
        <v>0.182242990654206</v>
      </c>
      <c r="P80" s="13" t="n">
        <f aca="false">YEAR(B80)</f>
        <v>2022</v>
      </c>
      <c r="Q80" s="13" t="str">
        <f aca="false">"Q"&amp;ROUNDUP(MONTH(B80)/3,0)</f>
        <v>Q2</v>
      </c>
      <c r="R80" s="13" t="str">
        <f aca="false">TEXT(B80,"MMM-YYYY")</f>
        <v>May-2022</v>
      </c>
    </row>
    <row r="81" customFormat="false" ht="15" hidden="false" customHeight="true" outlineLevel="0" collapsed="false">
      <c r="A81" s="7" t="s">
        <v>169</v>
      </c>
      <c r="B81" s="8" t="n">
        <v>44688</v>
      </c>
      <c r="C81" s="7" t="s">
        <v>136</v>
      </c>
      <c r="D81" s="7" t="s">
        <v>35</v>
      </c>
      <c r="E81" s="7" t="s">
        <v>77</v>
      </c>
      <c r="F81" s="7" t="s">
        <v>152</v>
      </c>
      <c r="G81" s="9" t="s">
        <v>153</v>
      </c>
      <c r="H81" s="7" t="n">
        <v>14</v>
      </c>
      <c r="I81" s="10" t="n">
        <v>472</v>
      </c>
      <c r="J81" s="10" t="n">
        <v>350</v>
      </c>
      <c r="K81" s="7" t="n">
        <v>38</v>
      </c>
      <c r="L81" s="7" t="s">
        <v>20</v>
      </c>
      <c r="M81" s="10" t="n">
        <v>6608</v>
      </c>
      <c r="N81" s="10" t="n">
        <v>1708</v>
      </c>
      <c r="O81" s="14" t="n">
        <f aca="false">N81/M81</f>
        <v>0.258474576271186</v>
      </c>
      <c r="P81" s="15" t="n">
        <f aca="false">YEAR(B81)</f>
        <v>2022</v>
      </c>
      <c r="Q81" s="15" t="str">
        <f aca="false">"Q"&amp;ROUNDUP(MONTH(B81)/3,0)</f>
        <v>Q2</v>
      </c>
      <c r="R81" s="15" t="str">
        <f aca="false">TEXT(B81,"MMM-YYYY")</f>
        <v>May-2022</v>
      </c>
    </row>
    <row r="82" customFormat="false" ht="15" hidden="false" customHeight="true" outlineLevel="0" collapsed="false">
      <c r="A82" s="3" t="s">
        <v>170</v>
      </c>
      <c r="B82" s="4" t="n">
        <v>44689</v>
      </c>
      <c r="C82" s="3" t="s">
        <v>28</v>
      </c>
      <c r="D82" s="3" t="s">
        <v>29</v>
      </c>
      <c r="E82" s="3" t="s">
        <v>62</v>
      </c>
      <c r="F82" s="3" t="s">
        <v>69</v>
      </c>
      <c r="G82" s="5" t="s">
        <v>70</v>
      </c>
      <c r="H82" s="3" t="n">
        <v>2</v>
      </c>
      <c r="I82" s="6" t="n">
        <v>67</v>
      </c>
      <c r="J82" s="6" t="n">
        <v>50</v>
      </c>
      <c r="K82" s="3" t="n">
        <v>45</v>
      </c>
      <c r="L82" s="3" t="s">
        <v>20</v>
      </c>
      <c r="M82" s="6" t="n">
        <v>134</v>
      </c>
      <c r="N82" s="6" t="n">
        <v>34</v>
      </c>
      <c r="O82" s="12" t="n">
        <f aca="false">N82/M82</f>
        <v>0.253731343283582</v>
      </c>
      <c r="P82" s="13" t="n">
        <f aca="false">YEAR(B82)</f>
        <v>2022</v>
      </c>
      <c r="Q82" s="13" t="str">
        <f aca="false">"Q"&amp;ROUNDUP(MONTH(B82)/3,0)</f>
        <v>Q2</v>
      </c>
      <c r="R82" s="13" t="str">
        <f aca="false">TEXT(B82,"MMM-YYYY")</f>
        <v>May-2022</v>
      </c>
    </row>
    <row r="83" customFormat="false" ht="15" hidden="false" customHeight="true" outlineLevel="0" collapsed="false">
      <c r="A83" s="7" t="s">
        <v>171</v>
      </c>
      <c r="B83" s="8" t="n">
        <v>44691</v>
      </c>
      <c r="C83" s="7" t="s">
        <v>15</v>
      </c>
      <c r="D83" s="7" t="s">
        <v>16</v>
      </c>
      <c r="E83" s="7" t="s">
        <v>77</v>
      </c>
      <c r="F83" s="7" t="s">
        <v>129</v>
      </c>
      <c r="G83" s="9" t="s">
        <v>130</v>
      </c>
      <c r="H83" s="7" t="n">
        <v>1</v>
      </c>
      <c r="I83" s="10" t="n">
        <v>159</v>
      </c>
      <c r="J83" s="10" t="n">
        <v>120</v>
      </c>
      <c r="K83" s="7" t="n">
        <v>41</v>
      </c>
      <c r="L83" s="7" t="s">
        <v>20</v>
      </c>
      <c r="M83" s="10" t="n">
        <v>159</v>
      </c>
      <c r="N83" s="10" t="n">
        <v>39</v>
      </c>
      <c r="O83" s="14" t="n">
        <f aca="false">N83/M83</f>
        <v>0.245283018867925</v>
      </c>
      <c r="P83" s="15" t="n">
        <f aca="false">YEAR(B83)</f>
        <v>2022</v>
      </c>
      <c r="Q83" s="15" t="str">
        <f aca="false">"Q"&amp;ROUNDUP(MONTH(B83)/3,0)</f>
        <v>Q2</v>
      </c>
      <c r="R83" s="15" t="str">
        <f aca="false">TEXT(B83,"MMM-YYYY")</f>
        <v>May-2022</v>
      </c>
    </row>
    <row r="84" customFormat="false" ht="15" hidden="false" customHeight="true" outlineLevel="0" collapsed="false">
      <c r="A84" s="3" t="s">
        <v>172</v>
      </c>
      <c r="B84" s="4" t="n">
        <v>44691</v>
      </c>
      <c r="C84" s="3" t="s">
        <v>15</v>
      </c>
      <c r="D84" s="3" t="s">
        <v>16</v>
      </c>
      <c r="E84" s="3" t="s">
        <v>30</v>
      </c>
      <c r="F84" s="3" t="s">
        <v>118</v>
      </c>
      <c r="G84" s="5" t="s">
        <v>119</v>
      </c>
      <c r="H84" s="3" t="n">
        <v>9</v>
      </c>
      <c r="I84" s="6" t="n">
        <v>424</v>
      </c>
      <c r="J84" s="6" t="n">
        <v>280</v>
      </c>
      <c r="K84" s="3" t="n">
        <v>5</v>
      </c>
      <c r="L84" s="3" t="s">
        <v>20</v>
      </c>
      <c r="M84" s="6" t="n">
        <v>3816</v>
      </c>
      <c r="N84" s="6" t="n">
        <v>1296</v>
      </c>
      <c r="O84" s="12" t="n">
        <f aca="false">N84/M84</f>
        <v>0.339622641509434</v>
      </c>
      <c r="P84" s="13" t="n">
        <f aca="false">YEAR(B84)</f>
        <v>2022</v>
      </c>
      <c r="Q84" s="13" t="str">
        <f aca="false">"Q"&amp;ROUNDUP(MONTH(B84)/3,0)</f>
        <v>Q2</v>
      </c>
      <c r="R84" s="13" t="str">
        <f aca="false">TEXT(B84,"MMM-YYYY")</f>
        <v>May-2022</v>
      </c>
    </row>
    <row r="85" customFormat="false" ht="15" hidden="false" customHeight="true" outlineLevel="0" collapsed="false">
      <c r="A85" s="7" t="s">
        <v>173</v>
      </c>
      <c r="B85" s="8" t="n">
        <v>44692</v>
      </c>
      <c r="C85" s="7" t="s">
        <v>72</v>
      </c>
      <c r="D85" s="7" t="s">
        <v>35</v>
      </c>
      <c r="E85" s="7" t="s">
        <v>62</v>
      </c>
      <c r="F85" s="7" t="s">
        <v>63</v>
      </c>
      <c r="G85" s="9" t="s">
        <v>64</v>
      </c>
      <c r="H85" s="7" t="n">
        <v>6</v>
      </c>
      <c r="I85" s="10" t="n">
        <v>82</v>
      </c>
      <c r="J85" s="10" t="n">
        <v>60</v>
      </c>
      <c r="K85" s="7" t="n">
        <v>50</v>
      </c>
      <c r="L85" s="7" t="s">
        <v>26</v>
      </c>
      <c r="M85" s="10" t="n">
        <v>492</v>
      </c>
      <c r="N85" s="10" t="n">
        <v>132</v>
      </c>
      <c r="O85" s="14" t="n">
        <f aca="false">N85/M85</f>
        <v>0.268292682926829</v>
      </c>
      <c r="P85" s="15" t="n">
        <f aca="false">YEAR(B85)</f>
        <v>2022</v>
      </c>
      <c r="Q85" s="15" t="str">
        <f aca="false">"Q"&amp;ROUNDUP(MONTH(B85)/3,0)</f>
        <v>Q2</v>
      </c>
      <c r="R85" s="15" t="str">
        <f aca="false">TEXT(B85,"MMM-YYYY")</f>
        <v>May-2022</v>
      </c>
    </row>
    <row r="86" customFormat="false" ht="15" hidden="false" customHeight="true" outlineLevel="0" collapsed="false">
      <c r="A86" s="3" t="s">
        <v>174</v>
      </c>
      <c r="B86" s="4" t="n">
        <v>44692</v>
      </c>
      <c r="C86" s="3" t="s">
        <v>15</v>
      </c>
      <c r="D86" s="3" t="s">
        <v>16</v>
      </c>
      <c r="E86" s="3" t="s">
        <v>17</v>
      </c>
      <c r="F86" s="3" t="s">
        <v>66</v>
      </c>
      <c r="G86" s="5" t="s">
        <v>67</v>
      </c>
      <c r="H86" s="3" t="n">
        <v>13</v>
      </c>
      <c r="I86" s="6" t="n">
        <v>498</v>
      </c>
      <c r="J86" s="6" t="n">
        <v>350</v>
      </c>
      <c r="K86" s="3" t="n">
        <v>16</v>
      </c>
      <c r="L86" s="3" t="s">
        <v>20</v>
      </c>
      <c r="M86" s="6" t="n">
        <v>6474</v>
      </c>
      <c r="N86" s="6" t="n">
        <v>1924</v>
      </c>
      <c r="O86" s="12" t="n">
        <f aca="false">N86/M86</f>
        <v>0.29718875502008</v>
      </c>
      <c r="P86" s="13" t="n">
        <f aca="false">YEAR(B86)</f>
        <v>2022</v>
      </c>
      <c r="Q86" s="13" t="str">
        <f aca="false">"Q"&amp;ROUNDUP(MONTH(B86)/3,0)</f>
        <v>Q2</v>
      </c>
      <c r="R86" s="13" t="str">
        <f aca="false">TEXT(B86,"MMM-YYYY")</f>
        <v>May-2022</v>
      </c>
    </row>
    <row r="87" customFormat="false" ht="15" hidden="false" customHeight="true" outlineLevel="0" collapsed="false">
      <c r="A87" s="7" t="s">
        <v>175</v>
      </c>
      <c r="B87" s="8" t="n">
        <v>44693</v>
      </c>
      <c r="C87" s="7" t="s">
        <v>22</v>
      </c>
      <c r="D87" s="7" t="s">
        <v>16</v>
      </c>
      <c r="E87" s="7" t="s">
        <v>30</v>
      </c>
      <c r="F87" s="7" t="s">
        <v>87</v>
      </c>
      <c r="G87" s="9" t="s">
        <v>88</v>
      </c>
      <c r="H87" s="7" t="n">
        <v>8</v>
      </c>
      <c r="I87" s="10" t="n">
        <v>1029</v>
      </c>
      <c r="J87" s="10" t="n">
        <v>700</v>
      </c>
      <c r="K87" s="7" t="n">
        <v>49</v>
      </c>
      <c r="L87" s="7" t="s">
        <v>20</v>
      </c>
      <c r="M87" s="10" t="n">
        <v>8232</v>
      </c>
      <c r="N87" s="10" t="n">
        <v>2632</v>
      </c>
      <c r="O87" s="14" t="n">
        <f aca="false">N87/M87</f>
        <v>0.319727891156463</v>
      </c>
      <c r="P87" s="15" t="n">
        <f aca="false">YEAR(B87)</f>
        <v>2022</v>
      </c>
      <c r="Q87" s="15" t="str">
        <f aca="false">"Q"&amp;ROUNDUP(MONTH(B87)/3,0)</f>
        <v>Q2</v>
      </c>
      <c r="R87" s="15" t="str">
        <f aca="false">TEXT(B87,"MMM-YYYY")</f>
        <v>May-2022</v>
      </c>
    </row>
    <row r="88" customFormat="false" ht="15" hidden="false" customHeight="true" outlineLevel="0" collapsed="false">
      <c r="A88" s="3" t="s">
        <v>176</v>
      </c>
      <c r="B88" s="4" t="n">
        <v>44693</v>
      </c>
      <c r="C88" s="3" t="s">
        <v>111</v>
      </c>
      <c r="D88" s="3" t="s">
        <v>29</v>
      </c>
      <c r="E88" s="3" t="s">
        <v>62</v>
      </c>
      <c r="F88" s="3" t="s">
        <v>84</v>
      </c>
      <c r="G88" s="5" t="s">
        <v>85</v>
      </c>
      <c r="H88" s="3" t="n">
        <v>13</v>
      </c>
      <c r="I88" s="6" t="n">
        <v>493</v>
      </c>
      <c r="J88" s="6" t="n">
        <v>350</v>
      </c>
      <c r="K88" s="3" t="n">
        <v>50</v>
      </c>
      <c r="L88" s="3" t="s">
        <v>26</v>
      </c>
      <c r="M88" s="6" t="n">
        <v>6409</v>
      </c>
      <c r="N88" s="6" t="n">
        <v>1859</v>
      </c>
      <c r="O88" s="12" t="n">
        <f aca="false">N88/M88</f>
        <v>0.290060851926978</v>
      </c>
      <c r="P88" s="13" t="n">
        <f aca="false">YEAR(B88)</f>
        <v>2022</v>
      </c>
      <c r="Q88" s="13" t="str">
        <f aca="false">"Q"&amp;ROUNDUP(MONTH(B88)/3,0)</f>
        <v>Q2</v>
      </c>
      <c r="R88" s="13" t="str">
        <f aca="false">TEXT(B88,"MMM-YYYY")</f>
        <v>May-2022</v>
      </c>
    </row>
    <row r="89" customFormat="false" ht="15" hidden="false" customHeight="true" outlineLevel="0" collapsed="false">
      <c r="A89" s="7" t="s">
        <v>177</v>
      </c>
      <c r="B89" s="8" t="n">
        <v>44695</v>
      </c>
      <c r="C89" s="7" t="s">
        <v>34</v>
      </c>
      <c r="D89" s="7" t="s">
        <v>35</v>
      </c>
      <c r="E89" s="7" t="s">
        <v>39</v>
      </c>
      <c r="F89" s="7" t="s">
        <v>99</v>
      </c>
      <c r="G89" s="9" t="s">
        <v>100</v>
      </c>
      <c r="H89" s="7" t="n">
        <v>14</v>
      </c>
      <c r="I89" s="10" t="n">
        <v>250</v>
      </c>
      <c r="J89" s="10" t="n">
        <v>220</v>
      </c>
      <c r="K89" s="7" t="n">
        <v>28</v>
      </c>
      <c r="L89" s="7" t="s">
        <v>26</v>
      </c>
      <c r="M89" s="10" t="n">
        <v>3500</v>
      </c>
      <c r="N89" s="10" t="n">
        <v>420</v>
      </c>
      <c r="O89" s="14" t="n">
        <f aca="false">N89/M89</f>
        <v>0.12</v>
      </c>
      <c r="P89" s="15" t="n">
        <f aca="false">YEAR(B89)</f>
        <v>2022</v>
      </c>
      <c r="Q89" s="15" t="str">
        <f aca="false">"Q"&amp;ROUNDUP(MONTH(B89)/3,0)</f>
        <v>Q2</v>
      </c>
      <c r="R89" s="15" t="str">
        <f aca="false">TEXT(B89,"MMM-YYYY")</f>
        <v>May-2022</v>
      </c>
    </row>
    <row r="90" customFormat="false" ht="15" hidden="false" customHeight="true" outlineLevel="0" collapsed="false">
      <c r="A90" s="3" t="s">
        <v>178</v>
      </c>
      <c r="B90" s="4" t="n">
        <v>44695</v>
      </c>
      <c r="C90" s="3" t="s">
        <v>111</v>
      </c>
      <c r="D90" s="3" t="s">
        <v>29</v>
      </c>
      <c r="E90" s="3" t="s">
        <v>30</v>
      </c>
      <c r="F90" s="3" t="s">
        <v>118</v>
      </c>
      <c r="G90" s="5" t="s">
        <v>119</v>
      </c>
      <c r="H90" s="3" t="n">
        <v>14</v>
      </c>
      <c r="I90" s="6" t="n">
        <v>397</v>
      </c>
      <c r="J90" s="6" t="n">
        <v>280</v>
      </c>
      <c r="K90" s="3" t="n">
        <v>27</v>
      </c>
      <c r="L90" s="3" t="s">
        <v>20</v>
      </c>
      <c r="M90" s="6" t="n">
        <v>5558</v>
      </c>
      <c r="N90" s="6" t="n">
        <v>1638</v>
      </c>
      <c r="O90" s="12" t="n">
        <f aca="false">N90/M90</f>
        <v>0.294710327455919</v>
      </c>
      <c r="P90" s="13" t="n">
        <f aca="false">YEAR(B90)</f>
        <v>2022</v>
      </c>
      <c r="Q90" s="13" t="str">
        <f aca="false">"Q"&amp;ROUNDUP(MONTH(B90)/3,0)</f>
        <v>Q2</v>
      </c>
      <c r="R90" s="13" t="str">
        <f aca="false">TEXT(B90,"MMM-YYYY")</f>
        <v>May-2022</v>
      </c>
    </row>
    <row r="91" customFormat="false" ht="15" hidden="false" customHeight="true" outlineLevel="0" collapsed="false">
      <c r="A91" s="7" t="s">
        <v>179</v>
      </c>
      <c r="B91" s="8" t="n">
        <v>44698</v>
      </c>
      <c r="C91" s="7" t="s">
        <v>111</v>
      </c>
      <c r="D91" s="7" t="s">
        <v>29</v>
      </c>
      <c r="E91" s="7" t="s">
        <v>77</v>
      </c>
      <c r="F91" s="7" t="s">
        <v>180</v>
      </c>
      <c r="G91" s="9" t="s">
        <v>181</v>
      </c>
      <c r="H91" s="7" t="n">
        <v>12</v>
      </c>
      <c r="I91" s="10" t="n">
        <v>247</v>
      </c>
      <c r="J91" s="10" t="n">
        <v>180</v>
      </c>
      <c r="K91" s="7" t="n">
        <v>1</v>
      </c>
      <c r="L91" s="7" t="s">
        <v>20</v>
      </c>
      <c r="M91" s="10" t="n">
        <v>2964</v>
      </c>
      <c r="N91" s="10" t="n">
        <v>804</v>
      </c>
      <c r="O91" s="14" t="n">
        <f aca="false">N91/M91</f>
        <v>0.271255060728745</v>
      </c>
      <c r="P91" s="15" t="n">
        <f aca="false">YEAR(B91)</f>
        <v>2022</v>
      </c>
      <c r="Q91" s="15" t="str">
        <f aca="false">"Q"&amp;ROUNDUP(MONTH(B91)/3,0)</f>
        <v>Q2</v>
      </c>
      <c r="R91" s="15" t="str">
        <f aca="false">TEXT(B91,"MMM-YYYY")</f>
        <v>May-2022</v>
      </c>
    </row>
    <row r="92" customFormat="false" ht="15" hidden="false" customHeight="true" outlineLevel="0" collapsed="false">
      <c r="A92" s="3" t="s">
        <v>182</v>
      </c>
      <c r="B92" s="4" t="n">
        <v>44700</v>
      </c>
      <c r="C92" s="3" t="s">
        <v>28</v>
      </c>
      <c r="D92" s="3" t="s">
        <v>29</v>
      </c>
      <c r="E92" s="3" t="s">
        <v>23</v>
      </c>
      <c r="F92" s="3" t="s">
        <v>24</v>
      </c>
      <c r="G92" s="5" t="s">
        <v>25</v>
      </c>
      <c r="H92" s="3" t="n">
        <v>11</v>
      </c>
      <c r="I92" s="6" t="n">
        <v>431</v>
      </c>
      <c r="J92" s="6" t="n">
        <v>350</v>
      </c>
      <c r="K92" s="3" t="n">
        <v>11</v>
      </c>
      <c r="L92" s="3" t="s">
        <v>26</v>
      </c>
      <c r="M92" s="6" t="n">
        <v>4741</v>
      </c>
      <c r="N92" s="6" t="n">
        <v>891</v>
      </c>
      <c r="O92" s="12" t="n">
        <f aca="false">N92/M92</f>
        <v>0.187935034802784</v>
      </c>
      <c r="P92" s="13" t="n">
        <f aca="false">YEAR(B92)</f>
        <v>2022</v>
      </c>
      <c r="Q92" s="13" t="str">
        <f aca="false">"Q"&amp;ROUNDUP(MONTH(B92)/3,0)</f>
        <v>Q2</v>
      </c>
      <c r="R92" s="13" t="str">
        <f aca="false">TEXT(B92,"MMM-YYYY")</f>
        <v>May-2022</v>
      </c>
    </row>
    <row r="93" customFormat="false" ht="15" hidden="false" customHeight="true" outlineLevel="0" collapsed="false">
      <c r="A93" s="7" t="s">
        <v>183</v>
      </c>
      <c r="B93" s="8" t="n">
        <v>44701</v>
      </c>
      <c r="C93" s="7" t="s">
        <v>58</v>
      </c>
      <c r="D93" s="7" t="s">
        <v>48</v>
      </c>
      <c r="E93" s="7" t="s">
        <v>77</v>
      </c>
      <c r="F93" s="7" t="s">
        <v>180</v>
      </c>
      <c r="G93" s="9" t="s">
        <v>181</v>
      </c>
      <c r="H93" s="7" t="n">
        <v>5</v>
      </c>
      <c r="I93" s="10" t="n">
        <v>244</v>
      </c>
      <c r="J93" s="10" t="n">
        <v>180</v>
      </c>
      <c r="K93" s="7" t="n">
        <v>10</v>
      </c>
      <c r="L93" s="7" t="s">
        <v>20</v>
      </c>
      <c r="M93" s="10" t="n">
        <v>1220</v>
      </c>
      <c r="N93" s="10" t="n">
        <v>320</v>
      </c>
      <c r="O93" s="14" t="n">
        <f aca="false">N93/M93</f>
        <v>0.262295081967213</v>
      </c>
      <c r="P93" s="15" t="n">
        <f aca="false">YEAR(B93)</f>
        <v>2022</v>
      </c>
      <c r="Q93" s="15" t="str">
        <f aca="false">"Q"&amp;ROUNDUP(MONTH(B93)/3,0)</f>
        <v>Q2</v>
      </c>
      <c r="R93" s="15" t="str">
        <f aca="false">TEXT(B93,"MMM-YYYY")</f>
        <v>May-2022</v>
      </c>
    </row>
    <row r="94" customFormat="false" ht="15" hidden="false" customHeight="true" outlineLevel="0" collapsed="false">
      <c r="A94" s="3" t="s">
        <v>184</v>
      </c>
      <c r="B94" s="4" t="n">
        <v>44702</v>
      </c>
      <c r="C94" s="3" t="s">
        <v>34</v>
      </c>
      <c r="D94" s="3" t="s">
        <v>35</v>
      </c>
      <c r="E94" s="3" t="s">
        <v>77</v>
      </c>
      <c r="F94" s="3" t="s">
        <v>152</v>
      </c>
      <c r="G94" s="5" t="s">
        <v>153</v>
      </c>
      <c r="H94" s="3" t="n">
        <v>7</v>
      </c>
      <c r="I94" s="6" t="n">
        <v>461</v>
      </c>
      <c r="J94" s="6" t="n">
        <v>350</v>
      </c>
      <c r="K94" s="3" t="n">
        <v>3</v>
      </c>
      <c r="L94" s="3" t="s">
        <v>26</v>
      </c>
      <c r="M94" s="6" t="n">
        <v>3227</v>
      </c>
      <c r="N94" s="6" t="n">
        <v>777</v>
      </c>
      <c r="O94" s="12" t="n">
        <f aca="false">N94/M94</f>
        <v>0.240780911062907</v>
      </c>
      <c r="P94" s="13" t="n">
        <f aca="false">YEAR(B94)</f>
        <v>2022</v>
      </c>
      <c r="Q94" s="13" t="str">
        <f aca="false">"Q"&amp;ROUNDUP(MONTH(B94)/3,0)</f>
        <v>Q2</v>
      </c>
      <c r="R94" s="13" t="str">
        <f aca="false">TEXT(B94,"MMM-YYYY")</f>
        <v>May-2022</v>
      </c>
    </row>
    <row r="95" customFormat="false" ht="15" hidden="false" customHeight="true" outlineLevel="0" collapsed="false">
      <c r="A95" s="7" t="s">
        <v>185</v>
      </c>
      <c r="B95" s="8" t="n">
        <v>44702</v>
      </c>
      <c r="C95" s="7" t="s">
        <v>52</v>
      </c>
      <c r="D95" s="7" t="s">
        <v>29</v>
      </c>
      <c r="E95" s="7" t="s">
        <v>62</v>
      </c>
      <c r="F95" s="7" t="s">
        <v>103</v>
      </c>
      <c r="G95" s="9" t="s">
        <v>104</v>
      </c>
      <c r="H95" s="7" t="n">
        <v>11</v>
      </c>
      <c r="I95" s="10" t="n">
        <v>116</v>
      </c>
      <c r="J95" s="10" t="n">
        <v>90</v>
      </c>
      <c r="K95" s="7" t="n">
        <v>0</v>
      </c>
      <c r="L95" s="7" t="s">
        <v>20</v>
      </c>
      <c r="M95" s="10" t="n">
        <v>1276</v>
      </c>
      <c r="N95" s="10" t="n">
        <v>286</v>
      </c>
      <c r="O95" s="14" t="n">
        <f aca="false">N95/M95</f>
        <v>0.224137931034483</v>
      </c>
      <c r="P95" s="15" t="n">
        <f aca="false">YEAR(B95)</f>
        <v>2022</v>
      </c>
      <c r="Q95" s="15" t="str">
        <f aca="false">"Q"&amp;ROUNDUP(MONTH(B95)/3,0)</f>
        <v>Q2</v>
      </c>
      <c r="R95" s="15" t="str">
        <f aca="false">TEXT(B95,"MMM-YYYY")</f>
        <v>May-2022</v>
      </c>
    </row>
    <row r="96" customFormat="false" ht="15" hidden="false" customHeight="true" outlineLevel="0" collapsed="false">
      <c r="A96" s="3" t="s">
        <v>186</v>
      </c>
      <c r="B96" s="4" t="n">
        <v>44706</v>
      </c>
      <c r="C96" s="3" t="s">
        <v>72</v>
      </c>
      <c r="D96" s="3" t="s">
        <v>35</v>
      </c>
      <c r="E96" s="3" t="s">
        <v>17</v>
      </c>
      <c r="F96" s="3" t="s">
        <v>66</v>
      </c>
      <c r="G96" s="5" t="s">
        <v>67</v>
      </c>
      <c r="H96" s="3" t="n">
        <v>6</v>
      </c>
      <c r="I96" s="6" t="n">
        <v>502</v>
      </c>
      <c r="J96" s="6" t="n">
        <v>350</v>
      </c>
      <c r="K96" s="3" t="n">
        <v>35</v>
      </c>
      <c r="L96" s="3" t="s">
        <v>26</v>
      </c>
      <c r="M96" s="6" t="n">
        <v>3012</v>
      </c>
      <c r="N96" s="6" t="n">
        <v>912</v>
      </c>
      <c r="O96" s="12" t="n">
        <f aca="false">N96/M96</f>
        <v>0.302788844621514</v>
      </c>
      <c r="P96" s="13" t="n">
        <f aca="false">YEAR(B96)</f>
        <v>2022</v>
      </c>
      <c r="Q96" s="13" t="str">
        <f aca="false">"Q"&amp;ROUNDUP(MONTH(B96)/3,0)</f>
        <v>Q2</v>
      </c>
      <c r="R96" s="13" t="str">
        <f aca="false">TEXT(B96,"MMM-YYYY")</f>
        <v>May-2022</v>
      </c>
    </row>
    <row r="97" customFormat="false" ht="15" hidden="false" customHeight="true" outlineLevel="0" collapsed="false">
      <c r="A97" s="7" t="s">
        <v>187</v>
      </c>
      <c r="B97" s="8" t="n">
        <v>44706</v>
      </c>
      <c r="C97" s="7" t="s">
        <v>28</v>
      </c>
      <c r="D97" s="7" t="s">
        <v>29</v>
      </c>
      <c r="E97" s="7" t="s">
        <v>62</v>
      </c>
      <c r="F97" s="7" t="s">
        <v>96</v>
      </c>
      <c r="G97" s="9" t="s">
        <v>97</v>
      </c>
      <c r="H97" s="7" t="n">
        <v>8</v>
      </c>
      <c r="I97" s="10" t="n">
        <v>106</v>
      </c>
      <c r="J97" s="10" t="n">
        <v>80</v>
      </c>
      <c r="K97" s="7" t="n">
        <v>23</v>
      </c>
      <c r="L97" s="7" t="s">
        <v>26</v>
      </c>
      <c r="M97" s="10" t="n">
        <v>848</v>
      </c>
      <c r="N97" s="10" t="n">
        <v>208</v>
      </c>
      <c r="O97" s="14" t="n">
        <f aca="false">N97/M97</f>
        <v>0.245283018867925</v>
      </c>
      <c r="P97" s="15" t="n">
        <f aca="false">YEAR(B97)</f>
        <v>2022</v>
      </c>
      <c r="Q97" s="15" t="str">
        <f aca="false">"Q"&amp;ROUNDUP(MONTH(B97)/3,0)</f>
        <v>Q2</v>
      </c>
      <c r="R97" s="15" t="str">
        <f aca="false">TEXT(B97,"MMM-YYYY")</f>
        <v>May-2022</v>
      </c>
    </row>
    <row r="98" customFormat="false" ht="15" hidden="false" customHeight="true" outlineLevel="0" collapsed="false">
      <c r="A98" s="3" t="s">
        <v>188</v>
      </c>
      <c r="B98" s="4" t="n">
        <v>44711</v>
      </c>
      <c r="C98" s="3" t="s">
        <v>43</v>
      </c>
      <c r="D98" s="3" t="s">
        <v>16</v>
      </c>
      <c r="E98" s="3" t="s">
        <v>23</v>
      </c>
      <c r="F98" s="3" t="s">
        <v>49</v>
      </c>
      <c r="G98" s="5" t="s">
        <v>50</v>
      </c>
      <c r="H98" s="3" t="n">
        <v>13</v>
      </c>
      <c r="I98" s="6" t="n">
        <v>21301</v>
      </c>
      <c r="J98" s="6" t="n">
        <v>18000</v>
      </c>
      <c r="K98" s="3" t="n">
        <v>24</v>
      </c>
      <c r="L98" s="3" t="s">
        <v>26</v>
      </c>
      <c r="M98" s="6" t="n">
        <v>276913</v>
      </c>
      <c r="N98" s="6" t="n">
        <v>42913</v>
      </c>
      <c r="O98" s="12" t="n">
        <f aca="false">N98/M98</f>
        <v>0.15496925026994</v>
      </c>
      <c r="P98" s="13" t="n">
        <f aca="false">YEAR(B98)</f>
        <v>2022</v>
      </c>
      <c r="Q98" s="13" t="str">
        <f aca="false">"Q"&amp;ROUNDUP(MONTH(B98)/3,0)</f>
        <v>Q2</v>
      </c>
      <c r="R98" s="13" t="str">
        <f aca="false">TEXT(B98,"MMM-YYYY")</f>
        <v>May-2022</v>
      </c>
    </row>
    <row r="99" customFormat="false" ht="15" hidden="false" customHeight="true" outlineLevel="0" collapsed="false">
      <c r="A99" s="7" t="s">
        <v>189</v>
      </c>
      <c r="B99" s="8" t="n">
        <v>44714</v>
      </c>
      <c r="C99" s="7" t="s">
        <v>34</v>
      </c>
      <c r="D99" s="7" t="s">
        <v>35</v>
      </c>
      <c r="E99" s="7" t="s">
        <v>23</v>
      </c>
      <c r="F99" s="7" t="s">
        <v>49</v>
      </c>
      <c r="G99" s="9" t="s">
        <v>50</v>
      </c>
      <c r="H99" s="7" t="n">
        <v>15</v>
      </c>
      <c r="I99" s="10" t="n">
        <v>22337</v>
      </c>
      <c r="J99" s="10" t="n">
        <v>18000</v>
      </c>
      <c r="K99" s="7" t="n">
        <v>42</v>
      </c>
      <c r="L99" s="7" t="s">
        <v>26</v>
      </c>
      <c r="M99" s="10" t="n">
        <v>335055</v>
      </c>
      <c r="N99" s="10" t="n">
        <v>65055</v>
      </c>
      <c r="O99" s="14" t="n">
        <f aca="false">N99/M99</f>
        <v>0.194162152482428</v>
      </c>
      <c r="P99" s="15" t="n">
        <f aca="false">YEAR(B99)</f>
        <v>2022</v>
      </c>
      <c r="Q99" s="15" t="str">
        <f aca="false">"Q"&amp;ROUNDUP(MONTH(B99)/3,0)</f>
        <v>Q2</v>
      </c>
      <c r="R99" s="15" t="str">
        <f aca="false">TEXT(B99,"MMM-YYYY")</f>
        <v>Jun-2022</v>
      </c>
    </row>
    <row r="100" customFormat="false" ht="15" hidden="false" customHeight="true" outlineLevel="0" collapsed="false">
      <c r="A100" s="3" t="s">
        <v>190</v>
      </c>
      <c r="B100" s="4" t="n">
        <v>44715</v>
      </c>
      <c r="C100" s="3" t="s">
        <v>43</v>
      </c>
      <c r="D100" s="3" t="s">
        <v>16</v>
      </c>
      <c r="E100" s="3" t="s">
        <v>77</v>
      </c>
      <c r="F100" s="3" t="s">
        <v>78</v>
      </c>
      <c r="G100" s="5" t="s">
        <v>79</v>
      </c>
      <c r="H100" s="3" t="n">
        <v>1</v>
      </c>
      <c r="I100" s="6" t="n">
        <v>1236</v>
      </c>
      <c r="J100" s="6" t="n">
        <v>900</v>
      </c>
      <c r="K100" s="3" t="n">
        <v>7</v>
      </c>
      <c r="L100" s="3" t="s">
        <v>20</v>
      </c>
      <c r="M100" s="6" t="n">
        <v>1236</v>
      </c>
      <c r="N100" s="6" t="n">
        <v>336</v>
      </c>
      <c r="O100" s="12" t="n">
        <f aca="false">N100/M100</f>
        <v>0.271844660194175</v>
      </c>
      <c r="P100" s="13" t="n">
        <f aca="false">YEAR(B100)</f>
        <v>2022</v>
      </c>
      <c r="Q100" s="13" t="str">
        <f aca="false">"Q"&amp;ROUNDUP(MONTH(B100)/3,0)</f>
        <v>Q2</v>
      </c>
      <c r="R100" s="13" t="str">
        <f aca="false">TEXT(B100,"MMM-YYYY")</f>
        <v>Jun-2022</v>
      </c>
    </row>
    <row r="101" customFormat="false" ht="15" hidden="false" customHeight="true" outlineLevel="0" collapsed="false">
      <c r="A101" s="7" t="s">
        <v>191</v>
      </c>
      <c r="B101" s="8" t="n">
        <v>44717</v>
      </c>
      <c r="C101" s="7" t="s">
        <v>52</v>
      </c>
      <c r="D101" s="7" t="s">
        <v>29</v>
      </c>
      <c r="E101" s="7" t="s">
        <v>23</v>
      </c>
      <c r="F101" s="7" t="s">
        <v>49</v>
      </c>
      <c r="G101" s="9" t="s">
        <v>50</v>
      </c>
      <c r="H101" s="7" t="n">
        <v>2</v>
      </c>
      <c r="I101" s="10" t="n">
        <v>21742</v>
      </c>
      <c r="J101" s="10" t="n">
        <v>18000</v>
      </c>
      <c r="K101" s="7" t="n">
        <v>46</v>
      </c>
      <c r="L101" s="7" t="s">
        <v>26</v>
      </c>
      <c r="M101" s="10" t="n">
        <v>43484</v>
      </c>
      <c r="N101" s="10" t="n">
        <v>7484</v>
      </c>
      <c r="O101" s="14" t="n">
        <f aca="false">N101/M101</f>
        <v>0.172109281574832</v>
      </c>
      <c r="P101" s="15" t="n">
        <f aca="false">YEAR(B101)</f>
        <v>2022</v>
      </c>
      <c r="Q101" s="15" t="str">
        <f aca="false">"Q"&amp;ROUNDUP(MONTH(B101)/3,0)</f>
        <v>Q2</v>
      </c>
      <c r="R101" s="15" t="str">
        <f aca="false">TEXT(B101,"MMM-YYYY")</f>
        <v>Jun-2022</v>
      </c>
    </row>
    <row r="102" customFormat="false" ht="15" hidden="false" customHeight="true" outlineLevel="0" collapsed="false">
      <c r="A102" s="3" t="s">
        <v>192</v>
      </c>
      <c r="B102" s="4" t="n">
        <v>44720</v>
      </c>
      <c r="C102" s="3" t="s">
        <v>43</v>
      </c>
      <c r="D102" s="3" t="s">
        <v>16</v>
      </c>
      <c r="E102" s="3" t="s">
        <v>30</v>
      </c>
      <c r="F102" s="3" t="s">
        <v>87</v>
      </c>
      <c r="G102" s="5" t="s">
        <v>88</v>
      </c>
      <c r="H102" s="3" t="n">
        <v>8</v>
      </c>
      <c r="I102" s="6" t="n">
        <v>1060</v>
      </c>
      <c r="J102" s="6" t="n">
        <v>700</v>
      </c>
      <c r="K102" s="3" t="n">
        <v>20</v>
      </c>
      <c r="L102" s="3" t="s">
        <v>26</v>
      </c>
      <c r="M102" s="6" t="n">
        <v>8480</v>
      </c>
      <c r="N102" s="6" t="n">
        <v>2880</v>
      </c>
      <c r="O102" s="12" t="n">
        <f aca="false">N102/M102</f>
        <v>0.339622641509434</v>
      </c>
      <c r="P102" s="13" t="n">
        <f aca="false">YEAR(B102)</f>
        <v>2022</v>
      </c>
      <c r="Q102" s="13" t="str">
        <f aca="false">"Q"&amp;ROUNDUP(MONTH(B102)/3,0)</f>
        <v>Q2</v>
      </c>
      <c r="R102" s="13" t="str">
        <f aca="false">TEXT(B102,"MMM-YYYY")</f>
        <v>Jun-2022</v>
      </c>
    </row>
    <row r="103" customFormat="false" ht="15" hidden="false" customHeight="true" outlineLevel="0" collapsed="false">
      <c r="A103" s="7" t="s">
        <v>193</v>
      </c>
      <c r="B103" s="8" t="n">
        <v>44722</v>
      </c>
      <c r="C103" s="7" t="s">
        <v>94</v>
      </c>
      <c r="D103" s="7" t="s">
        <v>48</v>
      </c>
      <c r="E103" s="7" t="s">
        <v>77</v>
      </c>
      <c r="F103" s="7" t="s">
        <v>81</v>
      </c>
      <c r="G103" s="9" t="s">
        <v>82</v>
      </c>
      <c r="H103" s="7" t="n">
        <v>4</v>
      </c>
      <c r="I103" s="10" t="n">
        <v>865</v>
      </c>
      <c r="J103" s="10" t="n">
        <v>600</v>
      </c>
      <c r="K103" s="7" t="n">
        <v>22</v>
      </c>
      <c r="L103" s="7" t="s">
        <v>26</v>
      </c>
      <c r="M103" s="10" t="n">
        <v>3460</v>
      </c>
      <c r="N103" s="10" t="n">
        <v>1060</v>
      </c>
      <c r="O103" s="14" t="n">
        <f aca="false">N103/M103</f>
        <v>0.30635838150289</v>
      </c>
      <c r="P103" s="15" t="n">
        <f aca="false">YEAR(B103)</f>
        <v>2022</v>
      </c>
      <c r="Q103" s="15" t="str">
        <f aca="false">"Q"&amp;ROUNDUP(MONTH(B103)/3,0)</f>
        <v>Q2</v>
      </c>
      <c r="R103" s="15" t="str">
        <f aca="false">TEXT(B103,"MMM-YYYY")</f>
        <v>Jun-2022</v>
      </c>
    </row>
    <row r="104" customFormat="false" ht="15" hidden="false" customHeight="true" outlineLevel="0" collapsed="false">
      <c r="A104" s="3" t="s">
        <v>194</v>
      </c>
      <c r="B104" s="4" t="n">
        <v>44722</v>
      </c>
      <c r="C104" s="3" t="s">
        <v>111</v>
      </c>
      <c r="D104" s="3" t="s">
        <v>29</v>
      </c>
      <c r="E104" s="3" t="s">
        <v>30</v>
      </c>
      <c r="F104" s="3" t="s">
        <v>31</v>
      </c>
      <c r="G104" s="5" t="s">
        <v>32</v>
      </c>
      <c r="H104" s="3" t="n">
        <v>10</v>
      </c>
      <c r="I104" s="6" t="n">
        <v>1808</v>
      </c>
      <c r="J104" s="6" t="n">
        <v>1200</v>
      </c>
      <c r="K104" s="3" t="n">
        <v>6</v>
      </c>
      <c r="L104" s="3" t="s">
        <v>20</v>
      </c>
      <c r="M104" s="6" t="n">
        <v>18080</v>
      </c>
      <c r="N104" s="6" t="n">
        <v>6080</v>
      </c>
      <c r="O104" s="12" t="n">
        <f aca="false">N104/M104</f>
        <v>0.336283185840708</v>
      </c>
      <c r="P104" s="13" t="n">
        <f aca="false">YEAR(B104)</f>
        <v>2022</v>
      </c>
      <c r="Q104" s="13" t="str">
        <f aca="false">"Q"&amp;ROUNDUP(MONTH(B104)/3,0)</f>
        <v>Q2</v>
      </c>
      <c r="R104" s="13" t="str">
        <f aca="false">TEXT(B104,"MMM-YYYY")</f>
        <v>Jun-2022</v>
      </c>
    </row>
    <row r="105" customFormat="false" ht="15" hidden="false" customHeight="true" outlineLevel="0" collapsed="false">
      <c r="A105" s="7" t="s">
        <v>195</v>
      </c>
      <c r="B105" s="8" t="n">
        <v>44723</v>
      </c>
      <c r="C105" s="7" t="s">
        <v>52</v>
      </c>
      <c r="D105" s="7" t="s">
        <v>29</v>
      </c>
      <c r="E105" s="7" t="s">
        <v>39</v>
      </c>
      <c r="F105" s="7" t="s">
        <v>143</v>
      </c>
      <c r="G105" s="9" t="s">
        <v>144</v>
      </c>
      <c r="H105" s="7" t="n">
        <v>11</v>
      </c>
      <c r="I105" s="10" t="n">
        <v>315</v>
      </c>
      <c r="J105" s="10" t="n">
        <v>280</v>
      </c>
      <c r="K105" s="7" t="n">
        <v>4</v>
      </c>
      <c r="L105" s="7" t="s">
        <v>26</v>
      </c>
      <c r="M105" s="10" t="n">
        <v>3465</v>
      </c>
      <c r="N105" s="10" t="n">
        <v>385</v>
      </c>
      <c r="O105" s="14" t="n">
        <f aca="false">N105/M105</f>
        <v>0.111111111111111</v>
      </c>
      <c r="P105" s="15" t="n">
        <f aca="false">YEAR(B105)</f>
        <v>2022</v>
      </c>
      <c r="Q105" s="15" t="str">
        <f aca="false">"Q"&amp;ROUNDUP(MONTH(B105)/3,0)</f>
        <v>Q2</v>
      </c>
      <c r="R105" s="15" t="str">
        <f aca="false">TEXT(B105,"MMM-YYYY")</f>
        <v>Jun-2022</v>
      </c>
    </row>
    <row r="106" customFormat="false" ht="15" hidden="false" customHeight="true" outlineLevel="0" collapsed="false">
      <c r="A106" s="3" t="s">
        <v>196</v>
      </c>
      <c r="B106" s="4" t="n">
        <v>44725</v>
      </c>
      <c r="C106" s="3" t="s">
        <v>22</v>
      </c>
      <c r="D106" s="3" t="s">
        <v>16</v>
      </c>
      <c r="E106" s="3" t="s">
        <v>77</v>
      </c>
      <c r="F106" s="3" t="s">
        <v>152</v>
      </c>
      <c r="G106" s="5" t="s">
        <v>153</v>
      </c>
      <c r="H106" s="3" t="n">
        <v>12</v>
      </c>
      <c r="I106" s="6" t="n">
        <v>504</v>
      </c>
      <c r="J106" s="6" t="n">
        <v>350</v>
      </c>
      <c r="K106" s="3" t="n">
        <v>2</v>
      </c>
      <c r="L106" s="3" t="s">
        <v>26</v>
      </c>
      <c r="M106" s="6" t="n">
        <v>6048</v>
      </c>
      <c r="N106" s="6" t="n">
        <v>1848</v>
      </c>
      <c r="O106" s="12" t="n">
        <f aca="false">N106/M106</f>
        <v>0.305555555555556</v>
      </c>
      <c r="P106" s="13" t="n">
        <f aca="false">YEAR(B106)</f>
        <v>2022</v>
      </c>
      <c r="Q106" s="13" t="str">
        <f aca="false">"Q"&amp;ROUNDUP(MONTH(B106)/3,0)</f>
        <v>Q2</v>
      </c>
      <c r="R106" s="13" t="str">
        <f aca="false">TEXT(B106,"MMM-YYYY")</f>
        <v>Jun-2022</v>
      </c>
    </row>
    <row r="107" customFormat="false" ht="15" hidden="false" customHeight="true" outlineLevel="0" collapsed="false">
      <c r="A107" s="7" t="s">
        <v>197</v>
      </c>
      <c r="B107" s="8" t="n">
        <v>44725</v>
      </c>
      <c r="C107" s="7" t="s">
        <v>136</v>
      </c>
      <c r="D107" s="7" t="s">
        <v>35</v>
      </c>
      <c r="E107" s="7" t="s">
        <v>23</v>
      </c>
      <c r="F107" s="7" t="s">
        <v>198</v>
      </c>
      <c r="G107" s="9" t="s">
        <v>199</v>
      </c>
      <c r="H107" s="7" t="n">
        <v>3</v>
      </c>
      <c r="I107" s="10" t="n">
        <v>1101</v>
      </c>
      <c r="J107" s="10" t="n">
        <v>900</v>
      </c>
      <c r="K107" s="7" t="n">
        <v>10</v>
      </c>
      <c r="L107" s="7" t="s">
        <v>26</v>
      </c>
      <c r="M107" s="10" t="n">
        <v>3303</v>
      </c>
      <c r="N107" s="10" t="n">
        <v>603</v>
      </c>
      <c r="O107" s="14" t="n">
        <f aca="false">N107/M107</f>
        <v>0.182561307901907</v>
      </c>
      <c r="P107" s="15" t="n">
        <f aca="false">YEAR(B107)</f>
        <v>2022</v>
      </c>
      <c r="Q107" s="15" t="str">
        <f aca="false">"Q"&amp;ROUNDUP(MONTH(B107)/3,0)</f>
        <v>Q2</v>
      </c>
      <c r="R107" s="15" t="str">
        <f aca="false">TEXT(B107,"MMM-YYYY")</f>
        <v>Jun-2022</v>
      </c>
    </row>
    <row r="108" customFormat="false" ht="15" hidden="false" customHeight="true" outlineLevel="0" collapsed="false">
      <c r="A108" s="3" t="s">
        <v>200</v>
      </c>
      <c r="B108" s="4" t="n">
        <v>44726</v>
      </c>
      <c r="C108" s="3" t="s">
        <v>52</v>
      </c>
      <c r="D108" s="3" t="s">
        <v>29</v>
      </c>
      <c r="E108" s="3" t="s">
        <v>39</v>
      </c>
      <c r="F108" s="3" t="s">
        <v>99</v>
      </c>
      <c r="G108" s="5" t="s">
        <v>100</v>
      </c>
      <c r="H108" s="3" t="n">
        <v>12</v>
      </c>
      <c r="I108" s="6" t="n">
        <v>271</v>
      </c>
      <c r="J108" s="6" t="n">
        <v>220</v>
      </c>
      <c r="K108" s="3" t="n">
        <v>13</v>
      </c>
      <c r="L108" s="3" t="s">
        <v>26</v>
      </c>
      <c r="M108" s="6" t="n">
        <v>3252</v>
      </c>
      <c r="N108" s="6" t="n">
        <v>612</v>
      </c>
      <c r="O108" s="12" t="n">
        <f aca="false">N108/M108</f>
        <v>0.188191881918819</v>
      </c>
      <c r="P108" s="13" t="n">
        <f aca="false">YEAR(B108)</f>
        <v>2022</v>
      </c>
      <c r="Q108" s="13" t="str">
        <f aca="false">"Q"&amp;ROUNDUP(MONTH(B108)/3,0)</f>
        <v>Q2</v>
      </c>
      <c r="R108" s="13" t="str">
        <f aca="false">TEXT(B108,"MMM-YYYY")</f>
        <v>Jun-2022</v>
      </c>
    </row>
    <row r="109" customFormat="false" ht="15" hidden="false" customHeight="true" outlineLevel="0" collapsed="false">
      <c r="A109" s="7" t="s">
        <v>201</v>
      </c>
      <c r="B109" s="8" t="n">
        <v>44727</v>
      </c>
      <c r="C109" s="7" t="s">
        <v>22</v>
      </c>
      <c r="D109" s="7" t="s">
        <v>16</v>
      </c>
      <c r="E109" s="7" t="s">
        <v>77</v>
      </c>
      <c r="F109" s="7" t="s">
        <v>180</v>
      </c>
      <c r="G109" s="9" t="s">
        <v>181</v>
      </c>
      <c r="H109" s="7" t="n">
        <v>9</v>
      </c>
      <c r="I109" s="10" t="n">
        <v>257</v>
      </c>
      <c r="J109" s="10" t="n">
        <v>180</v>
      </c>
      <c r="K109" s="7" t="n">
        <v>5</v>
      </c>
      <c r="L109" s="7" t="s">
        <v>20</v>
      </c>
      <c r="M109" s="10" t="n">
        <v>2313</v>
      </c>
      <c r="N109" s="10" t="n">
        <v>693</v>
      </c>
      <c r="O109" s="14" t="n">
        <f aca="false">N109/M109</f>
        <v>0.299610894941634</v>
      </c>
      <c r="P109" s="15" t="n">
        <f aca="false">YEAR(B109)</f>
        <v>2022</v>
      </c>
      <c r="Q109" s="15" t="str">
        <f aca="false">"Q"&amp;ROUNDUP(MONTH(B109)/3,0)</f>
        <v>Q2</v>
      </c>
      <c r="R109" s="15" t="str">
        <f aca="false">TEXT(B109,"MMM-YYYY")</f>
        <v>Jun-2022</v>
      </c>
    </row>
    <row r="110" customFormat="false" ht="15" hidden="false" customHeight="true" outlineLevel="0" collapsed="false">
      <c r="A110" s="3" t="s">
        <v>202</v>
      </c>
      <c r="B110" s="4" t="n">
        <v>44733</v>
      </c>
      <c r="C110" s="3" t="s">
        <v>47</v>
      </c>
      <c r="D110" s="3" t="s">
        <v>48</v>
      </c>
      <c r="E110" s="3" t="s">
        <v>62</v>
      </c>
      <c r="F110" s="3" t="s">
        <v>69</v>
      </c>
      <c r="G110" s="5" t="s">
        <v>70</v>
      </c>
      <c r="H110" s="3" t="n">
        <v>13</v>
      </c>
      <c r="I110" s="6" t="n">
        <v>65</v>
      </c>
      <c r="J110" s="6" t="n">
        <v>50</v>
      </c>
      <c r="K110" s="3" t="n">
        <v>17</v>
      </c>
      <c r="L110" s="3" t="s">
        <v>26</v>
      </c>
      <c r="M110" s="6" t="n">
        <v>845</v>
      </c>
      <c r="N110" s="6" t="n">
        <v>195</v>
      </c>
      <c r="O110" s="12" t="n">
        <f aca="false">N110/M110</f>
        <v>0.230769230769231</v>
      </c>
      <c r="P110" s="13" t="n">
        <f aca="false">YEAR(B110)</f>
        <v>2022</v>
      </c>
      <c r="Q110" s="13" t="str">
        <f aca="false">"Q"&amp;ROUNDUP(MONTH(B110)/3,0)</f>
        <v>Q2</v>
      </c>
      <c r="R110" s="13" t="str">
        <f aca="false">TEXT(B110,"MMM-YYYY")</f>
        <v>Jun-2022</v>
      </c>
    </row>
    <row r="111" customFormat="false" ht="15" hidden="false" customHeight="true" outlineLevel="0" collapsed="false">
      <c r="A111" s="7" t="s">
        <v>203</v>
      </c>
      <c r="B111" s="8" t="n">
        <v>44735</v>
      </c>
      <c r="C111" s="7" t="s">
        <v>111</v>
      </c>
      <c r="D111" s="7" t="s">
        <v>29</v>
      </c>
      <c r="E111" s="7" t="s">
        <v>23</v>
      </c>
      <c r="F111" s="7" t="s">
        <v>204</v>
      </c>
      <c r="G111" s="9" t="s">
        <v>205</v>
      </c>
      <c r="H111" s="7" t="n">
        <v>3</v>
      </c>
      <c r="I111" s="10" t="n">
        <v>2135</v>
      </c>
      <c r="J111" s="10" t="n">
        <v>1800</v>
      </c>
      <c r="K111" s="7" t="n">
        <v>7</v>
      </c>
      <c r="L111" s="7" t="s">
        <v>26</v>
      </c>
      <c r="M111" s="10" t="n">
        <v>6405</v>
      </c>
      <c r="N111" s="10" t="n">
        <v>1005</v>
      </c>
      <c r="O111" s="14" t="n">
        <f aca="false">N111/M111</f>
        <v>0.156908665105386</v>
      </c>
      <c r="P111" s="15" t="n">
        <f aca="false">YEAR(B111)</f>
        <v>2022</v>
      </c>
      <c r="Q111" s="15" t="str">
        <f aca="false">"Q"&amp;ROUNDUP(MONTH(B111)/3,0)</f>
        <v>Q2</v>
      </c>
      <c r="R111" s="15" t="str">
        <f aca="false">TEXT(B111,"MMM-YYYY")</f>
        <v>Jun-2022</v>
      </c>
    </row>
    <row r="112" customFormat="false" ht="15" hidden="false" customHeight="true" outlineLevel="0" collapsed="false">
      <c r="A112" s="3" t="s">
        <v>206</v>
      </c>
      <c r="B112" s="4" t="n">
        <v>44736</v>
      </c>
      <c r="C112" s="3" t="s">
        <v>52</v>
      </c>
      <c r="D112" s="3" t="s">
        <v>29</v>
      </c>
      <c r="E112" s="3" t="s">
        <v>23</v>
      </c>
      <c r="F112" s="3" t="s">
        <v>49</v>
      </c>
      <c r="G112" s="5" t="s">
        <v>50</v>
      </c>
      <c r="H112" s="3" t="n">
        <v>6</v>
      </c>
      <c r="I112" s="6" t="n">
        <v>21510</v>
      </c>
      <c r="J112" s="6" t="n">
        <v>18000</v>
      </c>
      <c r="K112" s="3" t="n">
        <v>3</v>
      </c>
      <c r="L112" s="3" t="s">
        <v>26</v>
      </c>
      <c r="M112" s="6" t="n">
        <v>129060</v>
      </c>
      <c r="N112" s="6" t="n">
        <v>21060</v>
      </c>
      <c r="O112" s="12" t="n">
        <f aca="false">N112/M112</f>
        <v>0.163179916317992</v>
      </c>
      <c r="P112" s="13" t="n">
        <f aca="false">YEAR(B112)</f>
        <v>2022</v>
      </c>
      <c r="Q112" s="13" t="str">
        <f aca="false">"Q"&amp;ROUNDUP(MONTH(B112)/3,0)</f>
        <v>Q2</v>
      </c>
      <c r="R112" s="13" t="str">
        <f aca="false">TEXT(B112,"MMM-YYYY")</f>
        <v>Jun-2022</v>
      </c>
    </row>
    <row r="113" customFormat="false" ht="15" hidden="false" customHeight="true" outlineLevel="0" collapsed="false">
      <c r="A113" s="7" t="s">
        <v>207</v>
      </c>
      <c r="B113" s="8" t="n">
        <v>44736</v>
      </c>
      <c r="C113" s="7" t="s">
        <v>28</v>
      </c>
      <c r="D113" s="7" t="s">
        <v>29</v>
      </c>
      <c r="E113" s="7" t="s">
        <v>77</v>
      </c>
      <c r="F113" s="7" t="s">
        <v>78</v>
      </c>
      <c r="G113" s="9" t="s">
        <v>79</v>
      </c>
      <c r="H113" s="7" t="n">
        <v>11</v>
      </c>
      <c r="I113" s="10" t="n">
        <v>1292</v>
      </c>
      <c r="J113" s="10" t="n">
        <v>900</v>
      </c>
      <c r="K113" s="7" t="n">
        <v>38</v>
      </c>
      <c r="L113" s="7" t="s">
        <v>20</v>
      </c>
      <c r="M113" s="10" t="n">
        <v>14212</v>
      </c>
      <c r="N113" s="10" t="n">
        <v>4312</v>
      </c>
      <c r="O113" s="14" t="n">
        <f aca="false">N113/M113</f>
        <v>0.303405572755418</v>
      </c>
      <c r="P113" s="15" t="n">
        <f aca="false">YEAR(B113)</f>
        <v>2022</v>
      </c>
      <c r="Q113" s="15" t="str">
        <f aca="false">"Q"&amp;ROUNDUP(MONTH(B113)/3,0)</f>
        <v>Q2</v>
      </c>
      <c r="R113" s="15" t="str">
        <f aca="false">TEXT(B113,"MMM-YYYY")</f>
        <v>Jun-2022</v>
      </c>
    </row>
    <row r="114" customFormat="false" ht="15" hidden="false" customHeight="true" outlineLevel="0" collapsed="false">
      <c r="A114" s="3" t="s">
        <v>208</v>
      </c>
      <c r="B114" s="4" t="n">
        <v>44738</v>
      </c>
      <c r="C114" s="3" t="s">
        <v>136</v>
      </c>
      <c r="D114" s="3" t="s">
        <v>35</v>
      </c>
      <c r="E114" s="3" t="s">
        <v>30</v>
      </c>
      <c r="F114" s="3" t="s">
        <v>118</v>
      </c>
      <c r="G114" s="5" t="s">
        <v>119</v>
      </c>
      <c r="H114" s="3" t="n">
        <v>10</v>
      </c>
      <c r="I114" s="6" t="n">
        <v>421</v>
      </c>
      <c r="J114" s="6" t="n">
        <v>280</v>
      </c>
      <c r="K114" s="3" t="n">
        <v>29</v>
      </c>
      <c r="L114" s="3" t="s">
        <v>26</v>
      </c>
      <c r="M114" s="6" t="n">
        <v>4210</v>
      </c>
      <c r="N114" s="6" t="n">
        <v>1410</v>
      </c>
      <c r="O114" s="12" t="n">
        <f aca="false">N114/M114</f>
        <v>0.334916864608076</v>
      </c>
      <c r="P114" s="13" t="n">
        <f aca="false">YEAR(B114)</f>
        <v>2022</v>
      </c>
      <c r="Q114" s="13" t="str">
        <f aca="false">"Q"&amp;ROUNDUP(MONTH(B114)/3,0)</f>
        <v>Q2</v>
      </c>
      <c r="R114" s="13" t="str">
        <f aca="false">TEXT(B114,"MMM-YYYY")</f>
        <v>Jun-2022</v>
      </c>
    </row>
    <row r="115" customFormat="false" ht="15" hidden="false" customHeight="true" outlineLevel="0" collapsed="false">
      <c r="A115" s="7" t="s">
        <v>209</v>
      </c>
      <c r="B115" s="8" t="n">
        <v>44739</v>
      </c>
      <c r="C115" s="7" t="s">
        <v>15</v>
      </c>
      <c r="D115" s="7" t="s">
        <v>16</v>
      </c>
      <c r="E115" s="7" t="s">
        <v>30</v>
      </c>
      <c r="F115" s="7" t="s">
        <v>31</v>
      </c>
      <c r="G115" s="9" t="s">
        <v>32</v>
      </c>
      <c r="H115" s="7" t="n">
        <v>13</v>
      </c>
      <c r="I115" s="10" t="n">
        <v>1800</v>
      </c>
      <c r="J115" s="10" t="n">
        <v>1200</v>
      </c>
      <c r="K115" s="7" t="n">
        <v>28</v>
      </c>
      <c r="L115" s="7" t="s">
        <v>26</v>
      </c>
      <c r="M115" s="10" t="n">
        <v>23400</v>
      </c>
      <c r="N115" s="10" t="n">
        <v>7800</v>
      </c>
      <c r="O115" s="14" t="n">
        <f aca="false">N115/M115</f>
        <v>0.333333333333333</v>
      </c>
      <c r="P115" s="15" t="n">
        <f aca="false">YEAR(B115)</f>
        <v>2022</v>
      </c>
      <c r="Q115" s="15" t="str">
        <f aca="false">"Q"&amp;ROUNDUP(MONTH(B115)/3,0)</f>
        <v>Q2</v>
      </c>
      <c r="R115" s="15" t="str">
        <f aca="false">TEXT(B115,"MMM-YYYY")</f>
        <v>Jun-2022</v>
      </c>
    </row>
    <row r="116" customFormat="false" ht="15" hidden="false" customHeight="true" outlineLevel="0" collapsed="false">
      <c r="A116" s="3" t="s">
        <v>210</v>
      </c>
      <c r="B116" s="4" t="n">
        <v>44740</v>
      </c>
      <c r="C116" s="3" t="s">
        <v>43</v>
      </c>
      <c r="D116" s="3" t="s">
        <v>16</v>
      </c>
      <c r="E116" s="3" t="s">
        <v>62</v>
      </c>
      <c r="F116" s="3" t="s">
        <v>96</v>
      </c>
      <c r="G116" s="5" t="s">
        <v>97</v>
      </c>
      <c r="H116" s="3" t="n">
        <v>3</v>
      </c>
      <c r="I116" s="6" t="n">
        <v>106</v>
      </c>
      <c r="J116" s="6" t="n">
        <v>80</v>
      </c>
      <c r="K116" s="3" t="n">
        <v>40</v>
      </c>
      <c r="L116" s="3" t="s">
        <v>26</v>
      </c>
      <c r="M116" s="6" t="n">
        <v>318</v>
      </c>
      <c r="N116" s="6" t="n">
        <v>78</v>
      </c>
      <c r="O116" s="12" t="n">
        <f aca="false">N116/M116</f>
        <v>0.245283018867925</v>
      </c>
      <c r="P116" s="13" t="n">
        <f aca="false">YEAR(B116)</f>
        <v>2022</v>
      </c>
      <c r="Q116" s="13" t="str">
        <f aca="false">"Q"&amp;ROUNDUP(MONTH(B116)/3,0)</f>
        <v>Q2</v>
      </c>
      <c r="R116" s="13" t="str">
        <f aca="false">TEXT(B116,"MMM-YYYY")</f>
        <v>Jun-2022</v>
      </c>
    </row>
    <row r="117" customFormat="false" ht="15" hidden="false" customHeight="true" outlineLevel="0" collapsed="false">
      <c r="A117" s="7" t="s">
        <v>211</v>
      </c>
      <c r="B117" s="8" t="n">
        <v>44740</v>
      </c>
      <c r="C117" s="7" t="s">
        <v>47</v>
      </c>
      <c r="D117" s="7" t="s">
        <v>48</v>
      </c>
      <c r="E117" s="7" t="s">
        <v>23</v>
      </c>
      <c r="F117" s="7" t="s">
        <v>204</v>
      </c>
      <c r="G117" s="9" t="s">
        <v>205</v>
      </c>
      <c r="H117" s="7" t="n">
        <v>13</v>
      </c>
      <c r="I117" s="10" t="n">
        <v>2089</v>
      </c>
      <c r="J117" s="10" t="n">
        <v>1800</v>
      </c>
      <c r="K117" s="7" t="n">
        <v>43</v>
      </c>
      <c r="L117" s="7" t="s">
        <v>26</v>
      </c>
      <c r="M117" s="10" t="n">
        <v>27157</v>
      </c>
      <c r="N117" s="10" t="n">
        <v>3757</v>
      </c>
      <c r="O117" s="14" t="n">
        <f aca="false">N117/M117</f>
        <v>0.138343705122068</v>
      </c>
      <c r="P117" s="15" t="n">
        <f aca="false">YEAR(B117)</f>
        <v>2022</v>
      </c>
      <c r="Q117" s="15" t="str">
        <f aca="false">"Q"&amp;ROUNDUP(MONTH(B117)/3,0)</f>
        <v>Q2</v>
      </c>
      <c r="R117" s="15" t="str">
        <f aca="false">TEXT(B117,"MMM-YYYY")</f>
        <v>Jun-2022</v>
      </c>
    </row>
    <row r="118" customFormat="false" ht="15" hidden="false" customHeight="true" outlineLevel="0" collapsed="false">
      <c r="A118" s="3" t="s">
        <v>212</v>
      </c>
      <c r="B118" s="4" t="n">
        <v>44744</v>
      </c>
      <c r="C118" s="3" t="s">
        <v>136</v>
      </c>
      <c r="D118" s="3" t="s">
        <v>35</v>
      </c>
      <c r="E118" s="3" t="s">
        <v>23</v>
      </c>
      <c r="F118" s="3" t="s">
        <v>198</v>
      </c>
      <c r="G118" s="5" t="s">
        <v>199</v>
      </c>
      <c r="H118" s="3" t="n">
        <v>8</v>
      </c>
      <c r="I118" s="6" t="n">
        <v>1091</v>
      </c>
      <c r="J118" s="6" t="n">
        <v>900</v>
      </c>
      <c r="K118" s="3" t="n">
        <v>22</v>
      </c>
      <c r="L118" s="3" t="s">
        <v>20</v>
      </c>
      <c r="M118" s="6" t="n">
        <v>8728</v>
      </c>
      <c r="N118" s="6" t="n">
        <v>1528</v>
      </c>
      <c r="O118" s="12" t="n">
        <f aca="false">N118/M118</f>
        <v>0.175068744271311</v>
      </c>
      <c r="P118" s="13" t="n">
        <f aca="false">YEAR(B118)</f>
        <v>2022</v>
      </c>
      <c r="Q118" s="13" t="str">
        <f aca="false">"Q"&amp;ROUNDUP(MONTH(B118)/3,0)</f>
        <v>Q3</v>
      </c>
      <c r="R118" s="13" t="str">
        <f aca="false">TEXT(B118,"MMM-YYYY")</f>
        <v>Jul-2022</v>
      </c>
    </row>
    <row r="119" customFormat="false" ht="15" hidden="false" customHeight="true" outlineLevel="0" collapsed="false">
      <c r="A119" s="7" t="s">
        <v>213</v>
      </c>
      <c r="B119" s="8" t="n">
        <v>44744</v>
      </c>
      <c r="C119" s="7" t="s">
        <v>94</v>
      </c>
      <c r="D119" s="7" t="s">
        <v>48</v>
      </c>
      <c r="E119" s="7" t="s">
        <v>77</v>
      </c>
      <c r="F119" s="7" t="s">
        <v>180</v>
      </c>
      <c r="G119" s="9" t="s">
        <v>181</v>
      </c>
      <c r="H119" s="7" t="n">
        <v>15</v>
      </c>
      <c r="I119" s="10" t="n">
        <v>253</v>
      </c>
      <c r="J119" s="10" t="n">
        <v>180</v>
      </c>
      <c r="K119" s="7" t="n">
        <v>47</v>
      </c>
      <c r="L119" s="7" t="s">
        <v>20</v>
      </c>
      <c r="M119" s="10" t="n">
        <v>3795</v>
      </c>
      <c r="N119" s="10" t="n">
        <v>1095</v>
      </c>
      <c r="O119" s="14" t="n">
        <f aca="false">N119/M119</f>
        <v>0.288537549407115</v>
      </c>
      <c r="P119" s="15" t="n">
        <f aca="false">YEAR(B119)</f>
        <v>2022</v>
      </c>
      <c r="Q119" s="15" t="str">
        <f aca="false">"Q"&amp;ROUNDUP(MONTH(B119)/3,0)</f>
        <v>Q3</v>
      </c>
      <c r="R119" s="15" t="str">
        <f aca="false">TEXT(B119,"MMM-YYYY")</f>
        <v>Jul-2022</v>
      </c>
    </row>
    <row r="120" customFormat="false" ht="15" hidden="false" customHeight="true" outlineLevel="0" collapsed="false">
      <c r="A120" s="3" t="s">
        <v>214</v>
      </c>
      <c r="B120" s="4" t="n">
        <v>44745</v>
      </c>
      <c r="C120" s="3" t="s">
        <v>58</v>
      </c>
      <c r="D120" s="3" t="s">
        <v>48</v>
      </c>
      <c r="E120" s="3" t="s">
        <v>62</v>
      </c>
      <c r="F120" s="3" t="s">
        <v>103</v>
      </c>
      <c r="G120" s="5" t="s">
        <v>104</v>
      </c>
      <c r="H120" s="3" t="n">
        <v>2</v>
      </c>
      <c r="I120" s="6" t="n">
        <v>123</v>
      </c>
      <c r="J120" s="6" t="n">
        <v>90</v>
      </c>
      <c r="K120" s="3" t="n">
        <v>24</v>
      </c>
      <c r="L120" s="3" t="s">
        <v>26</v>
      </c>
      <c r="M120" s="6" t="n">
        <v>246</v>
      </c>
      <c r="N120" s="6" t="n">
        <v>66</v>
      </c>
      <c r="O120" s="12" t="n">
        <f aca="false">N120/M120</f>
        <v>0.268292682926829</v>
      </c>
      <c r="P120" s="13" t="n">
        <f aca="false">YEAR(B120)</f>
        <v>2022</v>
      </c>
      <c r="Q120" s="13" t="str">
        <f aca="false">"Q"&amp;ROUNDUP(MONTH(B120)/3,0)</f>
        <v>Q3</v>
      </c>
      <c r="R120" s="13" t="str">
        <f aca="false">TEXT(B120,"MMM-YYYY")</f>
        <v>Jul-2022</v>
      </c>
    </row>
    <row r="121" customFormat="false" ht="15" hidden="false" customHeight="true" outlineLevel="0" collapsed="false">
      <c r="A121" s="7" t="s">
        <v>215</v>
      </c>
      <c r="B121" s="8" t="n">
        <v>44745</v>
      </c>
      <c r="C121" s="7" t="s">
        <v>136</v>
      </c>
      <c r="D121" s="7" t="s">
        <v>35</v>
      </c>
      <c r="E121" s="7" t="s">
        <v>39</v>
      </c>
      <c r="F121" s="7" t="s">
        <v>143</v>
      </c>
      <c r="G121" s="9" t="s">
        <v>144</v>
      </c>
      <c r="H121" s="7" t="n">
        <v>2</v>
      </c>
      <c r="I121" s="10" t="n">
        <v>333</v>
      </c>
      <c r="J121" s="10" t="n">
        <v>280</v>
      </c>
      <c r="K121" s="7" t="n">
        <v>49</v>
      </c>
      <c r="L121" s="7" t="s">
        <v>26</v>
      </c>
      <c r="M121" s="10" t="n">
        <v>666</v>
      </c>
      <c r="N121" s="10" t="n">
        <v>106</v>
      </c>
      <c r="O121" s="14" t="n">
        <f aca="false">N121/M121</f>
        <v>0.159159159159159</v>
      </c>
      <c r="P121" s="15" t="n">
        <f aca="false">YEAR(B121)</f>
        <v>2022</v>
      </c>
      <c r="Q121" s="15" t="str">
        <f aca="false">"Q"&amp;ROUNDUP(MONTH(B121)/3,0)</f>
        <v>Q3</v>
      </c>
      <c r="R121" s="15" t="str">
        <f aca="false">TEXT(B121,"MMM-YYYY")</f>
        <v>Jul-2022</v>
      </c>
    </row>
    <row r="122" customFormat="false" ht="15" hidden="false" customHeight="true" outlineLevel="0" collapsed="false">
      <c r="A122" s="3" t="s">
        <v>216</v>
      </c>
      <c r="B122" s="4" t="n">
        <v>44747</v>
      </c>
      <c r="C122" s="3" t="s">
        <v>94</v>
      </c>
      <c r="D122" s="3" t="s">
        <v>48</v>
      </c>
      <c r="E122" s="3" t="s">
        <v>77</v>
      </c>
      <c r="F122" s="3" t="s">
        <v>180</v>
      </c>
      <c r="G122" s="5" t="s">
        <v>181</v>
      </c>
      <c r="H122" s="3" t="n">
        <v>5</v>
      </c>
      <c r="I122" s="6" t="n">
        <v>237</v>
      </c>
      <c r="J122" s="6" t="n">
        <v>180</v>
      </c>
      <c r="K122" s="3" t="n">
        <v>27</v>
      </c>
      <c r="L122" s="3" t="s">
        <v>26</v>
      </c>
      <c r="M122" s="6" t="n">
        <v>1185</v>
      </c>
      <c r="N122" s="6" t="n">
        <v>285</v>
      </c>
      <c r="O122" s="12" t="n">
        <f aca="false">N122/M122</f>
        <v>0.240506329113924</v>
      </c>
      <c r="P122" s="13" t="n">
        <f aca="false">YEAR(B122)</f>
        <v>2022</v>
      </c>
      <c r="Q122" s="13" t="str">
        <f aca="false">"Q"&amp;ROUNDUP(MONTH(B122)/3,0)</f>
        <v>Q3</v>
      </c>
      <c r="R122" s="13" t="str">
        <f aca="false">TEXT(B122,"MMM-YYYY")</f>
        <v>Jul-2022</v>
      </c>
    </row>
    <row r="123" customFormat="false" ht="15" hidden="false" customHeight="true" outlineLevel="0" collapsed="false">
      <c r="A123" s="7" t="s">
        <v>217</v>
      </c>
      <c r="B123" s="8" t="n">
        <v>44749</v>
      </c>
      <c r="C123" s="7" t="s">
        <v>28</v>
      </c>
      <c r="D123" s="7" t="s">
        <v>29</v>
      </c>
      <c r="E123" s="7" t="s">
        <v>30</v>
      </c>
      <c r="F123" s="7" t="s">
        <v>87</v>
      </c>
      <c r="G123" s="9" t="s">
        <v>88</v>
      </c>
      <c r="H123" s="7" t="n">
        <v>3</v>
      </c>
      <c r="I123" s="10" t="n">
        <v>974</v>
      </c>
      <c r="J123" s="10" t="n">
        <v>700</v>
      </c>
      <c r="K123" s="7" t="n">
        <v>41</v>
      </c>
      <c r="L123" s="7" t="s">
        <v>20</v>
      </c>
      <c r="M123" s="10" t="n">
        <v>2922</v>
      </c>
      <c r="N123" s="10" t="n">
        <v>822</v>
      </c>
      <c r="O123" s="14" t="n">
        <f aca="false">N123/M123</f>
        <v>0.281314168377823</v>
      </c>
      <c r="P123" s="15" t="n">
        <f aca="false">YEAR(B123)</f>
        <v>2022</v>
      </c>
      <c r="Q123" s="15" t="str">
        <f aca="false">"Q"&amp;ROUNDUP(MONTH(B123)/3,0)</f>
        <v>Q3</v>
      </c>
      <c r="R123" s="15" t="str">
        <f aca="false">TEXT(B123,"MMM-YYYY")</f>
        <v>Jul-2022</v>
      </c>
    </row>
    <row r="124" customFormat="false" ht="15" hidden="false" customHeight="true" outlineLevel="0" collapsed="false">
      <c r="A124" s="3" t="s">
        <v>218</v>
      </c>
      <c r="B124" s="4" t="n">
        <v>44750</v>
      </c>
      <c r="C124" s="3" t="s">
        <v>47</v>
      </c>
      <c r="D124" s="3" t="s">
        <v>48</v>
      </c>
      <c r="E124" s="3" t="s">
        <v>17</v>
      </c>
      <c r="F124" s="3" t="s">
        <v>59</v>
      </c>
      <c r="G124" s="5" t="s">
        <v>60</v>
      </c>
      <c r="H124" s="3" t="n">
        <v>7</v>
      </c>
      <c r="I124" s="6" t="n">
        <v>385</v>
      </c>
      <c r="J124" s="6" t="n">
        <v>280</v>
      </c>
      <c r="K124" s="3" t="n">
        <v>15</v>
      </c>
      <c r="L124" s="3" t="s">
        <v>20</v>
      </c>
      <c r="M124" s="6" t="n">
        <v>2695</v>
      </c>
      <c r="N124" s="6" t="n">
        <v>735</v>
      </c>
      <c r="O124" s="12" t="n">
        <f aca="false">N124/M124</f>
        <v>0.272727272727273</v>
      </c>
      <c r="P124" s="13" t="n">
        <f aca="false">YEAR(B124)</f>
        <v>2022</v>
      </c>
      <c r="Q124" s="13" t="str">
        <f aca="false">"Q"&amp;ROUNDUP(MONTH(B124)/3,0)</f>
        <v>Q3</v>
      </c>
      <c r="R124" s="13" t="str">
        <f aca="false">TEXT(B124,"MMM-YYYY")</f>
        <v>Jul-2022</v>
      </c>
    </row>
    <row r="125" customFormat="false" ht="15" hidden="false" customHeight="true" outlineLevel="0" collapsed="false">
      <c r="A125" s="7" t="s">
        <v>219</v>
      </c>
      <c r="B125" s="8" t="n">
        <v>44754</v>
      </c>
      <c r="C125" s="7" t="s">
        <v>28</v>
      </c>
      <c r="D125" s="7" t="s">
        <v>29</v>
      </c>
      <c r="E125" s="7" t="s">
        <v>39</v>
      </c>
      <c r="F125" s="7" t="s">
        <v>220</v>
      </c>
      <c r="G125" s="9" t="s">
        <v>221</v>
      </c>
      <c r="H125" s="7" t="n">
        <v>3</v>
      </c>
      <c r="I125" s="10" t="n">
        <v>221</v>
      </c>
      <c r="J125" s="10" t="n">
        <v>180</v>
      </c>
      <c r="K125" s="7" t="n">
        <v>37</v>
      </c>
      <c r="L125" s="7" t="s">
        <v>26</v>
      </c>
      <c r="M125" s="10" t="n">
        <v>663</v>
      </c>
      <c r="N125" s="10" t="n">
        <v>123</v>
      </c>
      <c r="O125" s="14" t="n">
        <f aca="false">N125/M125</f>
        <v>0.18552036199095</v>
      </c>
      <c r="P125" s="15" t="n">
        <f aca="false">YEAR(B125)</f>
        <v>2022</v>
      </c>
      <c r="Q125" s="15" t="str">
        <f aca="false">"Q"&amp;ROUNDUP(MONTH(B125)/3,0)</f>
        <v>Q3</v>
      </c>
      <c r="R125" s="15" t="str">
        <f aca="false">TEXT(B125,"MMM-YYYY")</f>
        <v>Jul-2022</v>
      </c>
    </row>
    <row r="126" customFormat="false" ht="15" hidden="false" customHeight="true" outlineLevel="0" collapsed="false">
      <c r="A126" s="3" t="s">
        <v>222</v>
      </c>
      <c r="B126" s="4" t="n">
        <v>44756</v>
      </c>
      <c r="C126" s="3" t="s">
        <v>47</v>
      </c>
      <c r="D126" s="3" t="s">
        <v>48</v>
      </c>
      <c r="E126" s="3" t="s">
        <v>77</v>
      </c>
      <c r="F126" s="3" t="s">
        <v>81</v>
      </c>
      <c r="G126" s="5" t="s">
        <v>82</v>
      </c>
      <c r="H126" s="3" t="n">
        <v>12</v>
      </c>
      <c r="I126" s="6" t="n">
        <v>792</v>
      </c>
      <c r="J126" s="6" t="n">
        <v>600</v>
      </c>
      <c r="K126" s="3" t="n">
        <v>12</v>
      </c>
      <c r="L126" s="3" t="s">
        <v>20</v>
      </c>
      <c r="M126" s="6" t="n">
        <v>9504</v>
      </c>
      <c r="N126" s="6" t="n">
        <v>2304</v>
      </c>
      <c r="O126" s="12" t="n">
        <f aca="false">N126/M126</f>
        <v>0.242424242424242</v>
      </c>
      <c r="P126" s="13" t="n">
        <f aca="false">YEAR(B126)</f>
        <v>2022</v>
      </c>
      <c r="Q126" s="13" t="str">
        <f aca="false">"Q"&amp;ROUNDUP(MONTH(B126)/3,0)</f>
        <v>Q3</v>
      </c>
      <c r="R126" s="13" t="str">
        <f aca="false">TEXT(B126,"MMM-YYYY")</f>
        <v>Jul-2022</v>
      </c>
    </row>
    <row r="127" customFormat="false" ht="15" hidden="false" customHeight="true" outlineLevel="0" collapsed="false">
      <c r="A127" s="7" t="s">
        <v>223</v>
      </c>
      <c r="B127" s="8" t="n">
        <v>44756</v>
      </c>
      <c r="C127" s="7" t="s">
        <v>47</v>
      </c>
      <c r="D127" s="7" t="s">
        <v>48</v>
      </c>
      <c r="E127" s="7" t="s">
        <v>39</v>
      </c>
      <c r="F127" s="7" t="s">
        <v>99</v>
      </c>
      <c r="G127" s="9" t="s">
        <v>100</v>
      </c>
      <c r="H127" s="7" t="n">
        <v>11</v>
      </c>
      <c r="I127" s="10" t="n">
        <v>270</v>
      </c>
      <c r="J127" s="10" t="n">
        <v>220</v>
      </c>
      <c r="K127" s="7" t="n">
        <v>9</v>
      </c>
      <c r="L127" s="7" t="s">
        <v>26</v>
      </c>
      <c r="M127" s="10" t="n">
        <v>2970</v>
      </c>
      <c r="N127" s="10" t="n">
        <v>550</v>
      </c>
      <c r="O127" s="14" t="n">
        <f aca="false">N127/M127</f>
        <v>0.185185185185185</v>
      </c>
      <c r="P127" s="15" t="n">
        <f aca="false">YEAR(B127)</f>
        <v>2022</v>
      </c>
      <c r="Q127" s="15" t="str">
        <f aca="false">"Q"&amp;ROUNDUP(MONTH(B127)/3,0)</f>
        <v>Q3</v>
      </c>
      <c r="R127" s="15" t="str">
        <f aca="false">TEXT(B127,"MMM-YYYY")</f>
        <v>Jul-2022</v>
      </c>
    </row>
    <row r="128" customFormat="false" ht="15" hidden="false" customHeight="true" outlineLevel="0" collapsed="false">
      <c r="A128" s="3" t="s">
        <v>224</v>
      </c>
      <c r="B128" s="4" t="n">
        <v>44759</v>
      </c>
      <c r="C128" s="3" t="s">
        <v>28</v>
      </c>
      <c r="D128" s="3" t="s">
        <v>29</v>
      </c>
      <c r="E128" s="3" t="s">
        <v>39</v>
      </c>
      <c r="F128" s="3" t="s">
        <v>161</v>
      </c>
      <c r="G128" s="5" t="s">
        <v>162</v>
      </c>
      <c r="H128" s="3" t="n">
        <v>5</v>
      </c>
      <c r="I128" s="6" t="n">
        <v>421</v>
      </c>
      <c r="J128" s="6" t="n">
        <v>350</v>
      </c>
      <c r="K128" s="3" t="n">
        <v>22</v>
      </c>
      <c r="L128" s="3" t="s">
        <v>26</v>
      </c>
      <c r="M128" s="6" t="n">
        <v>2105</v>
      </c>
      <c r="N128" s="6" t="n">
        <v>355</v>
      </c>
      <c r="O128" s="12" t="n">
        <f aca="false">N128/M128</f>
        <v>0.168646080760095</v>
      </c>
      <c r="P128" s="13" t="n">
        <f aca="false">YEAR(B128)</f>
        <v>2022</v>
      </c>
      <c r="Q128" s="13" t="str">
        <f aca="false">"Q"&amp;ROUNDUP(MONTH(B128)/3,0)</f>
        <v>Q3</v>
      </c>
      <c r="R128" s="13" t="str">
        <f aca="false">TEXT(B128,"MMM-YYYY")</f>
        <v>Jul-2022</v>
      </c>
    </row>
    <row r="129" customFormat="false" ht="15" hidden="false" customHeight="true" outlineLevel="0" collapsed="false">
      <c r="A129" s="7" t="s">
        <v>225</v>
      </c>
      <c r="B129" s="8" t="n">
        <v>44759</v>
      </c>
      <c r="C129" s="7" t="s">
        <v>58</v>
      </c>
      <c r="D129" s="7" t="s">
        <v>48</v>
      </c>
      <c r="E129" s="7" t="s">
        <v>17</v>
      </c>
      <c r="F129" s="7" t="s">
        <v>66</v>
      </c>
      <c r="G129" s="9" t="s">
        <v>67</v>
      </c>
      <c r="H129" s="7" t="n">
        <v>1</v>
      </c>
      <c r="I129" s="10" t="n">
        <v>501</v>
      </c>
      <c r="J129" s="10" t="n">
        <v>350</v>
      </c>
      <c r="K129" s="7" t="n">
        <v>24</v>
      </c>
      <c r="L129" s="7" t="s">
        <v>26</v>
      </c>
      <c r="M129" s="10" t="n">
        <v>501</v>
      </c>
      <c r="N129" s="10" t="n">
        <v>151</v>
      </c>
      <c r="O129" s="14" t="n">
        <f aca="false">N129/M129</f>
        <v>0.301397205588822</v>
      </c>
      <c r="P129" s="15" t="n">
        <f aca="false">YEAR(B129)</f>
        <v>2022</v>
      </c>
      <c r="Q129" s="15" t="str">
        <f aca="false">"Q"&amp;ROUNDUP(MONTH(B129)/3,0)</f>
        <v>Q3</v>
      </c>
      <c r="R129" s="15" t="str">
        <f aca="false">TEXT(B129,"MMM-YYYY")</f>
        <v>Jul-2022</v>
      </c>
    </row>
    <row r="130" customFormat="false" ht="15" hidden="false" customHeight="true" outlineLevel="0" collapsed="false">
      <c r="A130" s="3" t="s">
        <v>226</v>
      </c>
      <c r="B130" s="4" t="n">
        <v>44760</v>
      </c>
      <c r="C130" s="3" t="s">
        <v>47</v>
      </c>
      <c r="D130" s="3" t="s">
        <v>48</v>
      </c>
      <c r="E130" s="3" t="s">
        <v>77</v>
      </c>
      <c r="F130" s="3" t="s">
        <v>180</v>
      </c>
      <c r="G130" s="5" t="s">
        <v>181</v>
      </c>
      <c r="H130" s="3" t="n">
        <v>9</v>
      </c>
      <c r="I130" s="6" t="n">
        <v>255</v>
      </c>
      <c r="J130" s="6" t="n">
        <v>180</v>
      </c>
      <c r="K130" s="3" t="n">
        <v>18</v>
      </c>
      <c r="L130" s="3" t="s">
        <v>26</v>
      </c>
      <c r="M130" s="6" t="n">
        <v>2295</v>
      </c>
      <c r="N130" s="6" t="n">
        <v>675</v>
      </c>
      <c r="O130" s="12" t="n">
        <f aca="false">N130/M130</f>
        <v>0.294117647058824</v>
      </c>
      <c r="P130" s="13" t="n">
        <f aca="false">YEAR(B130)</f>
        <v>2022</v>
      </c>
      <c r="Q130" s="13" t="str">
        <f aca="false">"Q"&amp;ROUNDUP(MONTH(B130)/3,0)</f>
        <v>Q3</v>
      </c>
      <c r="R130" s="13" t="str">
        <f aca="false">TEXT(B130,"MMM-YYYY")</f>
        <v>Jul-2022</v>
      </c>
    </row>
    <row r="131" customFormat="false" ht="15" hidden="false" customHeight="true" outlineLevel="0" collapsed="false">
      <c r="A131" s="7" t="s">
        <v>227</v>
      </c>
      <c r="B131" s="8" t="n">
        <v>44763</v>
      </c>
      <c r="C131" s="7" t="s">
        <v>34</v>
      </c>
      <c r="D131" s="7" t="s">
        <v>35</v>
      </c>
      <c r="E131" s="7" t="s">
        <v>39</v>
      </c>
      <c r="F131" s="7" t="s">
        <v>143</v>
      </c>
      <c r="G131" s="9" t="s">
        <v>144</v>
      </c>
      <c r="H131" s="7" t="n">
        <v>13</v>
      </c>
      <c r="I131" s="10" t="n">
        <v>333</v>
      </c>
      <c r="J131" s="10" t="n">
        <v>280</v>
      </c>
      <c r="K131" s="7" t="n">
        <v>17</v>
      </c>
      <c r="L131" s="7" t="s">
        <v>26</v>
      </c>
      <c r="M131" s="10" t="n">
        <v>4329</v>
      </c>
      <c r="N131" s="10" t="n">
        <v>689</v>
      </c>
      <c r="O131" s="14" t="n">
        <f aca="false">N131/M131</f>
        <v>0.159159159159159</v>
      </c>
      <c r="P131" s="15" t="n">
        <f aca="false">YEAR(B131)</f>
        <v>2022</v>
      </c>
      <c r="Q131" s="15" t="str">
        <f aca="false">"Q"&amp;ROUNDUP(MONTH(B131)/3,0)</f>
        <v>Q3</v>
      </c>
      <c r="R131" s="15" t="str">
        <f aca="false">TEXT(B131,"MMM-YYYY")</f>
        <v>Jul-2022</v>
      </c>
    </row>
    <row r="132" customFormat="false" ht="15" hidden="false" customHeight="true" outlineLevel="0" collapsed="false">
      <c r="A132" s="3" t="s">
        <v>228</v>
      </c>
      <c r="B132" s="4" t="n">
        <v>44765</v>
      </c>
      <c r="C132" s="3" t="s">
        <v>47</v>
      </c>
      <c r="D132" s="3" t="s">
        <v>48</v>
      </c>
      <c r="E132" s="3" t="s">
        <v>62</v>
      </c>
      <c r="F132" s="3" t="s">
        <v>63</v>
      </c>
      <c r="G132" s="5" t="s">
        <v>64</v>
      </c>
      <c r="H132" s="3" t="n">
        <v>13</v>
      </c>
      <c r="I132" s="6" t="n">
        <v>78</v>
      </c>
      <c r="J132" s="6" t="n">
        <v>60</v>
      </c>
      <c r="K132" s="3" t="n">
        <v>49</v>
      </c>
      <c r="L132" s="3" t="s">
        <v>26</v>
      </c>
      <c r="M132" s="6" t="n">
        <v>1014</v>
      </c>
      <c r="N132" s="6" t="n">
        <v>234</v>
      </c>
      <c r="O132" s="12" t="n">
        <f aca="false">N132/M132</f>
        <v>0.230769230769231</v>
      </c>
      <c r="P132" s="13" t="n">
        <f aca="false">YEAR(B132)</f>
        <v>2022</v>
      </c>
      <c r="Q132" s="13" t="str">
        <f aca="false">"Q"&amp;ROUNDUP(MONTH(B132)/3,0)</f>
        <v>Q3</v>
      </c>
      <c r="R132" s="13" t="str">
        <f aca="false">TEXT(B132,"MMM-YYYY")</f>
        <v>Jul-2022</v>
      </c>
    </row>
    <row r="133" customFormat="false" ht="15" hidden="false" customHeight="true" outlineLevel="0" collapsed="false">
      <c r="A133" s="7" t="s">
        <v>229</v>
      </c>
      <c r="B133" s="8" t="n">
        <v>44765</v>
      </c>
      <c r="C133" s="7" t="s">
        <v>22</v>
      </c>
      <c r="D133" s="7" t="s">
        <v>16</v>
      </c>
      <c r="E133" s="7" t="s">
        <v>17</v>
      </c>
      <c r="F133" s="7" t="s">
        <v>66</v>
      </c>
      <c r="G133" s="9" t="s">
        <v>67</v>
      </c>
      <c r="H133" s="7" t="n">
        <v>6</v>
      </c>
      <c r="I133" s="10" t="n">
        <v>504</v>
      </c>
      <c r="J133" s="10" t="n">
        <v>350</v>
      </c>
      <c r="K133" s="7" t="n">
        <v>29</v>
      </c>
      <c r="L133" s="7" t="s">
        <v>20</v>
      </c>
      <c r="M133" s="10" t="n">
        <v>3024</v>
      </c>
      <c r="N133" s="10" t="n">
        <v>924</v>
      </c>
      <c r="O133" s="14" t="n">
        <f aca="false">N133/M133</f>
        <v>0.305555555555556</v>
      </c>
      <c r="P133" s="15" t="n">
        <f aca="false">YEAR(B133)</f>
        <v>2022</v>
      </c>
      <c r="Q133" s="15" t="str">
        <f aca="false">"Q"&amp;ROUNDUP(MONTH(B133)/3,0)</f>
        <v>Q3</v>
      </c>
      <c r="R133" s="15" t="str">
        <f aca="false">TEXT(B133,"MMM-YYYY")</f>
        <v>Jul-2022</v>
      </c>
    </row>
    <row r="134" customFormat="false" ht="15" hidden="false" customHeight="true" outlineLevel="0" collapsed="false">
      <c r="A134" s="3" t="s">
        <v>230</v>
      </c>
      <c r="B134" s="4" t="n">
        <v>44767</v>
      </c>
      <c r="C134" s="3" t="s">
        <v>58</v>
      </c>
      <c r="D134" s="3" t="s">
        <v>48</v>
      </c>
      <c r="E134" s="3" t="s">
        <v>62</v>
      </c>
      <c r="F134" s="3" t="s">
        <v>63</v>
      </c>
      <c r="G134" s="5" t="s">
        <v>64</v>
      </c>
      <c r="H134" s="3" t="n">
        <v>9</v>
      </c>
      <c r="I134" s="6" t="n">
        <v>84</v>
      </c>
      <c r="J134" s="6" t="n">
        <v>60</v>
      </c>
      <c r="K134" s="3" t="n">
        <v>41</v>
      </c>
      <c r="L134" s="3" t="s">
        <v>26</v>
      </c>
      <c r="M134" s="6" t="n">
        <v>756</v>
      </c>
      <c r="N134" s="6" t="n">
        <v>216</v>
      </c>
      <c r="O134" s="12" t="n">
        <f aca="false">N134/M134</f>
        <v>0.285714285714286</v>
      </c>
      <c r="P134" s="13" t="n">
        <f aca="false">YEAR(B134)</f>
        <v>2022</v>
      </c>
      <c r="Q134" s="13" t="str">
        <f aca="false">"Q"&amp;ROUNDUP(MONTH(B134)/3,0)</f>
        <v>Q3</v>
      </c>
      <c r="R134" s="13" t="str">
        <f aca="false">TEXT(B134,"MMM-YYYY")</f>
        <v>Jul-2022</v>
      </c>
    </row>
    <row r="135" customFormat="false" ht="15" hidden="false" customHeight="true" outlineLevel="0" collapsed="false">
      <c r="A135" s="7" t="s">
        <v>231</v>
      </c>
      <c r="B135" s="8" t="n">
        <v>44768</v>
      </c>
      <c r="C135" s="7" t="s">
        <v>72</v>
      </c>
      <c r="D135" s="7" t="s">
        <v>35</v>
      </c>
      <c r="E135" s="7" t="s">
        <v>23</v>
      </c>
      <c r="F135" s="7" t="s">
        <v>49</v>
      </c>
      <c r="G135" s="9" t="s">
        <v>50</v>
      </c>
      <c r="H135" s="7" t="n">
        <v>10</v>
      </c>
      <c r="I135" s="10" t="n">
        <v>21955</v>
      </c>
      <c r="J135" s="10" t="n">
        <v>18000</v>
      </c>
      <c r="K135" s="7" t="n">
        <v>22</v>
      </c>
      <c r="L135" s="7" t="s">
        <v>26</v>
      </c>
      <c r="M135" s="10" t="n">
        <v>219550</v>
      </c>
      <c r="N135" s="10" t="n">
        <v>39550</v>
      </c>
      <c r="O135" s="14" t="n">
        <f aca="false">N135/M135</f>
        <v>0.180141197904805</v>
      </c>
      <c r="P135" s="15" t="n">
        <f aca="false">YEAR(B135)</f>
        <v>2022</v>
      </c>
      <c r="Q135" s="15" t="str">
        <f aca="false">"Q"&amp;ROUNDUP(MONTH(B135)/3,0)</f>
        <v>Q3</v>
      </c>
      <c r="R135" s="15" t="str">
        <f aca="false">TEXT(B135,"MMM-YYYY")</f>
        <v>Jul-2022</v>
      </c>
    </row>
    <row r="136" customFormat="false" ht="15" hidden="false" customHeight="true" outlineLevel="0" collapsed="false">
      <c r="A136" s="3" t="s">
        <v>232</v>
      </c>
      <c r="B136" s="4" t="n">
        <v>44773</v>
      </c>
      <c r="C136" s="3" t="s">
        <v>136</v>
      </c>
      <c r="D136" s="3" t="s">
        <v>35</v>
      </c>
      <c r="E136" s="3" t="s">
        <v>77</v>
      </c>
      <c r="F136" s="3" t="s">
        <v>129</v>
      </c>
      <c r="G136" s="5" t="s">
        <v>130</v>
      </c>
      <c r="H136" s="3" t="n">
        <v>3</v>
      </c>
      <c r="I136" s="6" t="n">
        <v>168</v>
      </c>
      <c r="J136" s="6" t="n">
        <v>120</v>
      </c>
      <c r="K136" s="3" t="n">
        <v>14</v>
      </c>
      <c r="L136" s="3" t="s">
        <v>26</v>
      </c>
      <c r="M136" s="6" t="n">
        <v>504</v>
      </c>
      <c r="N136" s="6" t="n">
        <v>144</v>
      </c>
      <c r="O136" s="12" t="n">
        <f aca="false">N136/M136</f>
        <v>0.285714285714286</v>
      </c>
      <c r="P136" s="13" t="n">
        <f aca="false">YEAR(B136)</f>
        <v>2022</v>
      </c>
      <c r="Q136" s="13" t="str">
        <f aca="false">"Q"&amp;ROUNDUP(MONTH(B136)/3,0)</f>
        <v>Q3</v>
      </c>
      <c r="R136" s="13" t="str">
        <f aca="false">TEXT(B136,"MMM-YYYY")</f>
        <v>Jul-2022</v>
      </c>
    </row>
    <row r="137" customFormat="false" ht="15" hidden="false" customHeight="true" outlineLevel="0" collapsed="false">
      <c r="A137" s="7" t="s">
        <v>233</v>
      </c>
      <c r="B137" s="8" t="n">
        <v>44776</v>
      </c>
      <c r="C137" s="7" t="s">
        <v>94</v>
      </c>
      <c r="D137" s="7" t="s">
        <v>48</v>
      </c>
      <c r="E137" s="7" t="s">
        <v>62</v>
      </c>
      <c r="F137" s="7" t="s">
        <v>69</v>
      </c>
      <c r="G137" s="9" t="s">
        <v>70</v>
      </c>
      <c r="H137" s="7" t="n">
        <v>9</v>
      </c>
      <c r="I137" s="10" t="n">
        <v>69</v>
      </c>
      <c r="J137" s="10" t="n">
        <v>50</v>
      </c>
      <c r="K137" s="7" t="n">
        <v>35</v>
      </c>
      <c r="L137" s="7" t="s">
        <v>26</v>
      </c>
      <c r="M137" s="10" t="n">
        <v>621</v>
      </c>
      <c r="N137" s="10" t="n">
        <v>171</v>
      </c>
      <c r="O137" s="14" t="n">
        <f aca="false">N137/M137</f>
        <v>0.27536231884058</v>
      </c>
      <c r="P137" s="15" t="n">
        <f aca="false">YEAR(B137)</f>
        <v>2022</v>
      </c>
      <c r="Q137" s="15" t="str">
        <f aca="false">"Q"&amp;ROUNDUP(MONTH(B137)/3,0)</f>
        <v>Q3</v>
      </c>
      <c r="R137" s="15" t="str">
        <f aca="false">TEXT(B137,"MMM-YYYY")</f>
        <v>Aug-2022</v>
      </c>
    </row>
    <row r="138" customFormat="false" ht="15" hidden="false" customHeight="true" outlineLevel="0" collapsed="false">
      <c r="A138" s="3" t="s">
        <v>234</v>
      </c>
      <c r="B138" s="4" t="n">
        <v>44777</v>
      </c>
      <c r="C138" s="3" t="s">
        <v>28</v>
      </c>
      <c r="D138" s="3" t="s">
        <v>29</v>
      </c>
      <c r="E138" s="3" t="s">
        <v>30</v>
      </c>
      <c r="F138" s="3" t="s">
        <v>118</v>
      </c>
      <c r="G138" s="5" t="s">
        <v>119</v>
      </c>
      <c r="H138" s="3" t="n">
        <v>5</v>
      </c>
      <c r="I138" s="6" t="n">
        <v>391</v>
      </c>
      <c r="J138" s="6" t="n">
        <v>280</v>
      </c>
      <c r="K138" s="3" t="n">
        <v>8</v>
      </c>
      <c r="L138" s="3" t="s">
        <v>20</v>
      </c>
      <c r="M138" s="6" t="n">
        <v>1955</v>
      </c>
      <c r="N138" s="6" t="n">
        <v>555</v>
      </c>
      <c r="O138" s="12" t="n">
        <f aca="false">N138/M138</f>
        <v>0.283887468030691</v>
      </c>
      <c r="P138" s="13" t="n">
        <f aca="false">YEAR(B138)</f>
        <v>2022</v>
      </c>
      <c r="Q138" s="13" t="str">
        <f aca="false">"Q"&amp;ROUNDUP(MONTH(B138)/3,0)</f>
        <v>Q3</v>
      </c>
      <c r="R138" s="13" t="str">
        <f aca="false">TEXT(B138,"MMM-YYYY")</f>
        <v>Aug-2022</v>
      </c>
    </row>
    <row r="139" customFormat="false" ht="15" hidden="false" customHeight="true" outlineLevel="0" collapsed="false">
      <c r="A139" s="7" t="s">
        <v>235</v>
      </c>
      <c r="B139" s="8" t="n">
        <v>44781</v>
      </c>
      <c r="C139" s="7" t="s">
        <v>43</v>
      </c>
      <c r="D139" s="7" t="s">
        <v>16</v>
      </c>
      <c r="E139" s="7" t="s">
        <v>39</v>
      </c>
      <c r="F139" s="7" t="s">
        <v>143</v>
      </c>
      <c r="G139" s="9" t="s">
        <v>144</v>
      </c>
      <c r="H139" s="7" t="n">
        <v>7</v>
      </c>
      <c r="I139" s="10" t="n">
        <v>323</v>
      </c>
      <c r="J139" s="10" t="n">
        <v>280</v>
      </c>
      <c r="K139" s="7" t="n">
        <v>16</v>
      </c>
      <c r="L139" s="7" t="s">
        <v>26</v>
      </c>
      <c r="M139" s="10" t="n">
        <v>2261</v>
      </c>
      <c r="N139" s="10" t="n">
        <v>301</v>
      </c>
      <c r="O139" s="14" t="n">
        <f aca="false">N139/M139</f>
        <v>0.13312693498452</v>
      </c>
      <c r="P139" s="15" t="n">
        <f aca="false">YEAR(B139)</f>
        <v>2022</v>
      </c>
      <c r="Q139" s="15" t="str">
        <f aca="false">"Q"&amp;ROUNDUP(MONTH(B139)/3,0)</f>
        <v>Q3</v>
      </c>
      <c r="R139" s="15" t="str">
        <f aca="false">TEXT(B139,"MMM-YYYY")</f>
        <v>Aug-2022</v>
      </c>
    </row>
    <row r="140" customFormat="false" ht="15" hidden="false" customHeight="true" outlineLevel="0" collapsed="false">
      <c r="A140" s="3" t="s">
        <v>236</v>
      </c>
      <c r="B140" s="4" t="n">
        <v>44782</v>
      </c>
      <c r="C140" s="3" t="s">
        <v>94</v>
      </c>
      <c r="D140" s="3" t="s">
        <v>48</v>
      </c>
      <c r="E140" s="3" t="s">
        <v>77</v>
      </c>
      <c r="F140" s="3" t="s">
        <v>78</v>
      </c>
      <c r="G140" s="5" t="s">
        <v>79</v>
      </c>
      <c r="H140" s="3" t="n">
        <v>12</v>
      </c>
      <c r="I140" s="6" t="n">
        <v>1189</v>
      </c>
      <c r="J140" s="6" t="n">
        <v>900</v>
      </c>
      <c r="K140" s="3" t="n">
        <v>11</v>
      </c>
      <c r="L140" s="3" t="s">
        <v>26</v>
      </c>
      <c r="M140" s="6" t="n">
        <v>14268</v>
      </c>
      <c r="N140" s="6" t="n">
        <v>3468</v>
      </c>
      <c r="O140" s="12" t="n">
        <f aca="false">N140/M140</f>
        <v>0.243061396131203</v>
      </c>
      <c r="P140" s="13" t="n">
        <f aca="false">YEAR(B140)</f>
        <v>2022</v>
      </c>
      <c r="Q140" s="13" t="str">
        <f aca="false">"Q"&amp;ROUNDUP(MONTH(B140)/3,0)</f>
        <v>Q3</v>
      </c>
      <c r="R140" s="13" t="str">
        <f aca="false">TEXT(B140,"MMM-YYYY")</f>
        <v>Aug-2022</v>
      </c>
    </row>
    <row r="141" customFormat="false" ht="15" hidden="false" customHeight="true" outlineLevel="0" collapsed="false">
      <c r="A141" s="7" t="s">
        <v>237</v>
      </c>
      <c r="B141" s="8" t="n">
        <v>44788</v>
      </c>
      <c r="C141" s="7" t="s">
        <v>34</v>
      </c>
      <c r="D141" s="7" t="s">
        <v>35</v>
      </c>
      <c r="E141" s="7" t="s">
        <v>77</v>
      </c>
      <c r="F141" s="7" t="s">
        <v>78</v>
      </c>
      <c r="G141" s="9" t="s">
        <v>79</v>
      </c>
      <c r="H141" s="7" t="n">
        <v>8</v>
      </c>
      <c r="I141" s="10" t="n">
        <v>1260</v>
      </c>
      <c r="J141" s="10" t="n">
        <v>900</v>
      </c>
      <c r="K141" s="7" t="n">
        <v>4</v>
      </c>
      <c r="L141" s="7" t="s">
        <v>26</v>
      </c>
      <c r="M141" s="10" t="n">
        <v>10080</v>
      </c>
      <c r="N141" s="10" t="n">
        <v>2880</v>
      </c>
      <c r="O141" s="14" t="n">
        <f aca="false">N141/M141</f>
        <v>0.285714285714286</v>
      </c>
      <c r="P141" s="15" t="n">
        <f aca="false">YEAR(B141)</f>
        <v>2022</v>
      </c>
      <c r="Q141" s="15" t="str">
        <f aca="false">"Q"&amp;ROUNDUP(MONTH(B141)/3,0)</f>
        <v>Q3</v>
      </c>
      <c r="R141" s="15" t="str">
        <f aca="false">TEXT(B141,"MMM-YYYY")</f>
        <v>Aug-2022</v>
      </c>
    </row>
    <row r="142" customFormat="false" ht="15" hidden="false" customHeight="true" outlineLevel="0" collapsed="false">
      <c r="A142" s="3" t="s">
        <v>238</v>
      </c>
      <c r="B142" s="4" t="n">
        <v>44788</v>
      </c>
      <c r="C142" s="3" t="s">
        <v>22</v>
      </c>
      <c r="D142" s="3" t="s">
        <v>16</v>
      </c>
      <c r="E142" s="3" t="s">
        <v>77</v>
      </c>
      <c r="F142" s="3" t="s">
        <v>152</v>
      </c>
      <c r="G142" s="5" t="s">
        <v>153</v>
      </c>
      <c r="H142" s="3" t="n">
        <v>10</v>
      </c>
      <c r="I142" s="6" t="n">
        <v>482</v>
      </c>
      <c r="J142" s="6" t="n">
        <v>350</v>
      </c>
      <c r="K142" s="3" t="n">
        <v>26</v>
      </c>
      <c r="L142" s="3" t="s">
        <v>20</v>
      </c>
      <c r="M142" s="6" t="n">
        <v>4820</v>
      </c>
      <c r="N142" s="6" t="n">
        <v>1320</v>
      </c>
      <c r="O142" s="12" t="n">
        <f aca="false">N142/M142</f>
        <v>0.273858921161826</v>
      </c>
      <c r="P142" s="13" t="n">
        <f aca="false">YEAR(B142)</f>
        <v>2022</v>
      </c>
      <c r="Q142" s="13" t="str">
        <f aca="false">"Q"&amp;ROUNDUP(MONTH(B142)/3,0)</f>
        <v>Q3</v>
      </c>
      <c r="R142" s="13" t="str">
        <f aca="false">TEXT(B142,"MMM-YYYY")</f>
        <v>Aug-2022</v>
      </c>
    </row>
    <row r="143" customFormat="false" ht="15" hidden="false" customHeight="true" outlineLevel="0" collapsed="false">
      <c r="A143" s="7" t="s">
        <v>239</v>
      </c>
      <c r="B143" s="8" t="n">
        <v>44789</v>
      </c>
      <c r="C143" s="7" t="s">
        <v>58</v>
      </c>
      <c r="D143" s="7" t="s">
        <v>48</v>
      </c>
      <c r="E143" s="7" t="s">
        <v>62</v>
      </c>
      <c r="F143" s="7" t="s">
        <v>69</v>
      </c>
      <c r="G143" s="9" t="s">
        <v>70</v>
      </c>
      <c r="H143" s="7" t="n">
        <v>2</v>
      </c>
      <c r="I143" s="10" t="n">
        <v>65</v>
      </c>
      <c r="J143" s="10" t="n">
        <v>50</v>
      </c>
      <c r="K143" s="7" t="n">
        <v>0</v>
      </c>
      <c r="L143" s="7" t="s">
        <v>26</v>
      </c>
      <c r="M143" s="10" t="n">
        <v>130</v>
      </c>
      <c r="N143" s="10" t="n">
        <v>30</v>
      </c>
      <c r="O143" s="14" t="n">
        <f aca="false">N143/M143</f>
        <v>0.230769230769231</v>
      </c>
      <c r="P143" s="15" t="n">
        <f aca="false">YEAR(B143)</f>
        <v>2022</v>
      </c>
      <c r="Q143" s="15" t="str">
        <f aca="false">"Q"&amp;ROUNDUP(MONTH(B143)/3,0)</f>
        <v>Q3</v>
      </c>
      <c r="R143" s="15" t="str">
        <f aca="false">TEXT(B143,"MMM-YYYY")</f>
        <v>Aug-2022</v>
      </c>
    </row>
    <row r="144" customFormat="false" ht="15" hidden="false" customHeight="true" outlineLevel="0" collapsed="false">
      <c r="A144" s="3" t="s">
        <v>240</v>
      </c>
      <c r="B144" s="4" t="n">
        <v>44789</v>
      </c>
      <c r="C144" s="3" t="s">
        <v>111</v>
      </c>
      <c r="D144" s="3" t="s">
        <v>29</v>
      </c>
      <c r="E144" s="3" t="s">
        <v>17</v>
      </c>
      <c r="F144" s="3" t="s">
        <v>54</v>
      </c>
      <c r="G144" s="5" t="s">
        <v>55</v>
      </c>
      <c r="H144" s="3" t="n">
        <v>10</v>
      </c>
      <c r="I144" s="6" t="n">
        <v>645</v>
      </c>
      <c r="J144" s="6" t="n">
        <v>450</v>
      </c>
      <c r="K144" s="3" t="n">
        <v>18</v>
      </c>
      <c r="L144" s="3" t="s">
        <v>20</v>
      </c>
      <c r="M144" s="6" t="n">
        <v>6450</v>
      </c>
      <c r="N144" s="6" t="n">
        <v>1950</v>
      </c>
      <c r="O144" s="12" t="n">
        <f aca="false">N144/M144</f>
        <v>0.302325581395349</v>
      </c>
      <c r="P144" s="13" t="n">
        <f aca="false">YEAR(B144)</f>
        <v>2022</v>
      </c>
      <c r="Q144" s="13" t="str">
        <f aca="false">"Q"&amp;ROUNDUP(MONTH(B144)/3,0)</f>
        <v>Q3</v>
      </c>
      <c r="R144" s="13" t="str">
        <f aca="false">TEXT(B144,"MMM-YYYY")</f>
        <v>Aug-2022</v>
      </c>
    </row>
    <row r="145" customFormat="false" ht="15" hidden="false" customHeight="true" outlineLevel="0" collapsed="false">
      <c r="A145" s="7" t="s">
        <v>241</v>
      </c>
      <c r="B145" s="8" t="n">
        <v>44790</v>
      </c>
      <c r="C145" s="7" t="s">
        <v>43</v>
      </c>
      <c r="D145" s="7" t="s">
        <v>16</v>
      </c>
      <c r="E145" s="7" t="s">
        <v>77</v>
      </c>
      <c r="F145" s="7" t="s">
        <v>180</v>
      </c>
      <c r="G145" s="9" t="s">
        <v>181</v>
      </c>
      <c r="H145" s="7" t="n">
        <v>9</v>
      </c>
      <c r="I145" s="10" t="n">
        <v>239</v>
      </c>
      <c r="J145" s="10" t="n">
        <v>180</v>
      </c>
      <c r="K145" s="7" t="n">
        <v>4</v>
      </c>
      <c r="L145" s="7" t="s">
        <v>26</v>
      </c>
      <c r="M145" s="10" t="n">
        <v>2151</v>
      </c>
      <c r="N145" s="10" t="n">
        <v>531</v>
      </c>
      <c r="O145" s="14" t="n">
        <f aca="false">N145/M145</f>
        <v>0.246861924686192</v>
      </c>
      <c r="P145" s="15" t="n">
        <f aca="false">YEAR(B145)</f>
        <v>2022</v>
      </c>
      <c r="Q145" s="15" t="str">
        <f aca="false">"Q"&amp;ROUNDUP(MONTH(B145)/3,0)</f>
        <v>Q3</v>
      </c>
      <c r="R145" s="15" t="str">
        <f aca="false">TEXT(B145,"MMM-YYYY")</f>
        <v>Aug-2022</v>
      </c>
    </row>
    <row r="146" customFormat="false" ht="15" hidden="false" customHeight="true" outlineLevel="0" collapsed="false">
      <c r="A146" s="3" t="s">
        <v>242</v>
      </c>
      <c r="B146" s="4" t="n">
        <v>44792</v>
      </c>
      <c r="C146" s="3" t="s">
        <v>58</v>
      </c>
      <c r="D146" s="3" t="s">
        <v>48</v>
      </c>
      <c r="E146" s="3" t="s">
        <v>77</v>
      </c>
      <c r="F146" s="3" t="s">
        <v>180</v>
      </c>
      <c r="G146" s="5" t="s">
        <v>181</v>
      </c>
      <c r="H146" s="3" t="n">
        <v>4</v>
      </c>
      <c r="I146" s="6" t="n">
        <v>251</v>
      </c>
      <c r="J146" s="6" t="n">
        <v>180</v>
      </c>
      <c r="K146" s="3" t="n">
        <v>23</v>
      </c>
      <c r="L146" s="3" t="s">
        <v>26</v>
      </c>
      <c r="M146" s="6" t="n">
        <v>1004</v>
      </c>
      <c r="N146" s="6" t="n">
        <v>284</v>
      </c>
      <c r="O146" s="12" t="n">
        <f aca="false">N146/M146</f>
        <v>0.282868525896414</v>
      </c>
      <c r="P146" s="13" t="n">
        <f aca="false">YEAR(B146)</f>
        <v>2022</v>
      </c>
      <c r="Q146" s="13" t="str">
        <f aca="false">"Q"&amp;ROUNDUP(MONTH(B146)/3,0)</f>
        <v>Q3</v>
      </c>
      <c r="R146" s="13" t="str">
        <f aca="false">TEXT(B146,"MMM-YYYY")</f>
        <v>Aug-2022</v>
      </c>
    </row>
    <row r="147" customFormat="false" ht="15" hidden="false" customHeight="true" outlineLevel="0" collapsed="false">
      <c r="A147" s="7" t="s">
        <v>243</v>
      </c>
      <c r="B147" s="8" t="n">
        <v>44792</v>
      </c>
      <c r="C147" s="7" t="s">
        <v>136</v>
      </c>
      <c r="D147" s="7" t="s">
        <v>35</v>
      </c>
      <c r="E147" s="7" t="s">
        <v>62</v>
      </c>
      <c r="F147" s="7" t="s">
        <v>84</v>
      </c>
      <c r="G147" s="9" t="s">
        <v>85</v>
      </c>
      <c r="H147" s="7" t="n">
        <v>8</v>
      </c>
      <c r="I147" s="10" t="n">
        <v>454</v>
      </c>
      <c r="J147" s="10" t="n">
        <v>350</v>
      </c>
      <c r="K147" s="7" t="n">
        <v>47</v>
      </c>
      <c r="L147" s="7" t="s">
        <v>26</v>
      </c>
      <c r="M147" s="10" t="n">
        <v>3632</v>
      </c>
      <c r="N147" s="10" t="n">
        <v>832</v>
      </c>
      <c r="O147" s="14" t="n">
        <f aca="false">N147/M147</f>
        <v>0.229074889867841</v>
      </c>
      <c r="P147" s="15" t="n">
        <f aca="false">YEAR(B147)</f>
        <v>2022</v>
      </c>
      <c r="Q147" s="15" t="str">
        <f aca="false">"Q"&amp;ROUNDUP(MONTH(B147)/3,0)</f>
        <v>Q3</v>
      </c>
      <c r="R147" s="15" t="str">
        <f aca="false">TEXT(B147,"MMM-YYYY")</f>
        <v>Aug-2022</v>
      </c>
    </row>
    <row r="148" customFormat="false" ht="15" hidden="false" customHeight="true" outlineLevel="0" collapsed="false">
      <c r="A148" s="3" t="s">
        <v>244</v>
      </c>
      <c r="B148" s="4" t="n">
        <v>44795</v>
      </c>
      <c r="C148" s="3" t="s">
        <v>136</v>
      </c>
      <c r="D148" s="3" t="s">
        <v>35</v>
      </c>
      <c r="E148" s="3" t="s">
        <v>30</v>
      </c>
      <c r="F148" s="3" t="s">
        <v>87</v>
      </c>
      <c r="G148" s="5" t="s">
        <v>88</v>
      </c>
      <c r="H148" s="3" t="n">
        <v>15</v>
      </c>
      <c r="I148" s="6" t="n">
        <v>1043</v>
      </c>
      <c r="J148" s="6" t="n">
        <v>700</v>
      </c>
      <c r="K148" s="3" t="n">
        <v>49</v>
      </c>
      <c r="L148" s="3" t="s">
        <v>20</v>
      </c>
      <c r="M148" s="6" t="n">
        <v>15645</v>
      </c>
      <c r="N148" s="6" t="n">
        <v>5145</v>
      </c>
      <c r="O148" s="12" t="n">
        <f aca="false">N148/M148</f>
        <v>0.328859060402685</v>
      </c>
      <c r="P148" s="13" t="n">
        <f aca="false">YEAR(B148)</f>
        <v>2022</v>
      </c>
      <c r="Q148" s="13" t="str">
        <f aca="false">"Q"&amp;ROUNDUP(MONTH(B148)/3,0)</f>
        <v>Q3</v>
      </c>
      <c r="R148" s="13" t="str">
        <f aca="false">TEXT(B148,"MMM-YYYY")</f>
        <v>Aug-2022</v>
      </c>
    </row>
    <row r="149" customFormat="false" ht="15" hidden="false" customHeight="true" outlineLevel="0" collapsed="false">
      <c r="A149" s="7" t="s">
        <v>245</v>
      </c>
      <c r="B149" s="8" t="n">
        <v>44795</v>
      </c>
      <c r="C149" s="7" t="s">
        <v>22</v>
      </c>
      <c r="D149" s="7" t="s">
        <v>16</v>
      </c>
      <c r="E149" s="7" t="s">
        <v>23</v>
      </c>
      <c r="F149" s="7" t="s">
        <v>49</v>
      </c>
      <c r="G149" s="9" t="s">
        <v>50</v>
      </c>
      <c r="H149" s="7" t="n">
        <v>5</v>
      </c>
      <c r="I149" s="10" t="n">
        <v>21253</v>
      </c>
      <c r="J149" s="10" t="n">
        <v>18000</v>
      </c>
      <c r="K149" s="7" t="n">
        <v>10</v>
      </c>
      <c r="L149" s="7" t="s">
        <v>26</v>
      </c>
      <c r="M149" s="10" t="n">
        <v>106265</v>
      </c>
      <c r="N149" s="10" t="n">
        <v>16265</v>
      </c>
      <c r="O149" s="14" t="n">
        <f aca="false">N149/M149</f>
        <v>0.153060744365501</v>
      </c>
      <c r="P149" s="15" t="n">
        <f aca="false">YEAR(B149)</f>
        <v>2022</v>
      </c>
      <c r="Q149" s="15" t="str">
        <f aca="false">"Q"&amp;ROUNDUP(MONTH(B149)/3,0)</f>
        <v>Q3</v>
      </c>
      <c r="R149" s="15" t="str">
        <f aca="false">TEXT(B149,"MMM-YYYY")</f>
        <v>Aug-2022</v>
      </c>
    </row>
    <row r="150" customFormat="false" ht="15" hidden="false" customHeight="true" outlineLevel="0" collapsed="false">
      <c r="A150" s="3" t="s">
        <v>246</v>
      </c>
      <c r="B150" s="4" t="n">
        <v>44797</v>
      </c>
      <c r="C150" s="3" t="s">
        <v>15</v>
      </c>
      <c r="D150" s="3" t="s">
        <v>16</v>
      </c>
      <c r="E150" s="3" t="s">
        <v>39</v>
      </c>
      <c r="F150" s="3" t="s">
        <v>220</v>
      </c>
      <c r="G150" s="5" t="s">
        <v>221</v>
      </c>
      <c r="H150" s="3" t="n">
        <v>9</v>
      </c>
      <c r="I150" s="6" t="n">
        <v>216</v>
      </c>
      <c r="J150" s="6" t="n">
        <v>180</v>
      </c>
      <c r="K150" s="3" t="n">
        <v>40</v>
      </c>
      <c r="L150" s="3" t="s">
        <v>26</v>
      </c>
      <c r="M150" s="6" t="n">
        <v>1944</v>
      </c>
      <c r="N150" s="6" t="n">
        <v>324</v>
      </c>
      <c r="O150" s="12" t="n">
        <f aca="false">N150/M150</f>
        <v>0.166666666666667</v>
      </c>
      <c r="P150" s="13" t="n">
        <f aca="false">YEAR(B150)</f>
        <v>2022</v>
      </c>
      <c r="Q150" s="13" t="str">
        <f aca="false">"Q"&amp;ROUNDUP(MONTH(B150)/3,0)</f>
        <v>Q3</v>
      </c>
      <c r="R150" s="13" t="str">
        <f aca="false">TEXT(B150,"MMM-YYYY")</f>
        <v>Aug-2022</v>
      </c>
    </row>
    <row r="151" customFormat="false" ht="15" hidden="false" customHeight="true" outlineLevel="0" collapsed="false">
      <c r="A151" s="7" t="s">
        <v>247</v>
      </c>
      <c r="B151" s="8" t="n">
        <v>44799</v>
      </c>
      <c r="C151" s="7" t="s">
        <v>111</v>
      </c>
      <c r="D151" s="7" t="s">
        <v>29</v>
      </c>
      <c r="E151" s="7" t="s">
        <v>17</v>
      </c>
      <c r="F151" s="7" t="s">
        <v>18</v>
      </c>
      <c r="G151" s="9" t="s">
        <v>19</v>
      </c>
      <c r="H151" s="7" t="n">
        <v>3</v>
      </c>
      <c r="I151" s="10" t="n">
        <v>1320</v>
      </c>
      <c r="J151" s="10" t="n">
        <v>900</v>
      </c>
      <c r="K151" s="7" t="n">
        <v>0</v>
      </c>
      <c r="L151" s="7" t="s">
        <v>20</v>
      </c>
      <c r="M151" s="10" t="n">
        <v>3960</v>
      </c>
      <c r="N151" s="10" t="n">
        <v>1260</v>
      </c>
      <c r="O151" s="14" t="n">
        <f aca="false">N151/M151</f>
        <v>0.318181818181818</v>
      </c>
      <c r="P151" s="15" t="n">
        <f aca="false">YEAR(B151)</f>
        <v>2022</v>
      </c>
      <c r="Q151" s="15" t="str">
        <f aca="false">"Q"&amp;ROUNDUP(MONTH(B151)/3,0)</f>
        <v>Q3</v>
      </c>
      <c r="R151" s="15" t="str">
        <f aca="false">TEXT(B151,"MMM-YYYY")</f>
        <v>Aug-2022</v>
      </c>
    </row>
    <row r="152" customFormat="false" ht="15" hidden="false" customHeight="true" outlineLevel="0" collapsed="false">
      <c r="A152" s="3" t="s">
        <v>248</v>
      </c>
      <c r="B152" s="4" t="n">
        <v>44800</v>
      </c>
      <c r="C152" s="3" t="s">
        <v>94</v>
      </c>
      <c r="D152" s="3" t="s">
        <v>48</v>
      </c>
      <c r="E152" s="3" t="s">
        <v>30</v>
      </c>
      <c r="F152" s="3" t="s">
        <v>36</v>
      </c>
      <c r="G152" s="5" t="s">
        <v>37</v>
      </c>
      <c r="H152" s="3" t="n">
        <v>9</v>
      </c>
      <c r="I152" s="6" t="n">
        <v>674</v>
      </c>
      <c r="J152" s="6" t="n">
        <v>450</v>
      </c>
      <c r="K152" s="3" t="n">
        <v>43</v>
      </c>
      <c r="L152" s="3" t="s">
        <v>26</v>
      </c>
      <c r="M152" s="6" t="n">
        <v>6066</v>
      </c>
      <c r="N152" s="6" t="n">
        <v>2016</v>
      </c>
      <c r="O152" s="12" t="n">
        <f aca="false">N152/M152</f>
        <v>0.332344213649852</v>
      </c>
      <c r="P152" s="13" t="n">
        <f aca="false">YEAR(B152)</f>
        <v>2022</v>
      </c>
      <c r="Q152" s="13" t="str">
        <f aca="false">"Q"&amp;ROUNDUP(MONTH(B152)/3,0)</f>
        <v>Q3</v>
      </c>
      <c r="R152" s="13" t="str">
        <f aca="false">TEXT(B152,"MMM-YYYY")</f>
        <v>Aug-2022</v>
      </c>
    </row>
    <row r="153" customFormat="false" ht="15" hidden="false" customHeight="true" outlineLevel="0" collapsed="false">
      <c r="A153" s="7" t="s">
        <v>249</v>
      </c>
      <c r="B153" s="8" t="n">
        <v>44804</v>
      </c>
      <c r="C153" s="7" t="s">
        <v>34</v>
      </c>
      <c r="D153" s="7" t="s">
        <v>35</v>
      </c>
      <c r="E153" s="7" t="s">
        <v>77</v>
      </c>
      <c r="F153" s="7" t="s">
        <v>81</v>
      </c>
      <c r="G153" s="9" t="s">
        <v>82</v>
      </c>
      <c r="H153" s="7" t="n">
        <v>9</v>
      </c>
      <c r="I153" s="10" t="n">
        <v>816</v>
      </c>
      <c r="J153" s="10" t="n">
        <v>600</v>
      </c>
      <c r="K153" s="7" t="n">
        <v>45</v>
      </c>
      <c r="L153" s="7" t="s">
        <v>26</v>
      </c>
      <c r="M153" s="10" t="n">
        <v>7344</v>
      </c>
      <c r="N153" s="10" t="n">
        <v>1944</v>
      </c>
      <c r="O153" s="14" t="n">
        <f aca="false">N153/M153</f>
        <v>0.264705882352941</v>
      </c>
      <c r="P153" s="15" t="n">
        <f aca="false">YEAR(B153)</f>
        <v>2022</v>
      </c>
      <c r="Q153" s="15" t="str">
        <f aca="false">"Q"&amp;ROUNDUP(MONTH(B153)/3,0)</f>
        <v>Q3</v>
      </c>
      <c r="R153" s="15" t="str">
        <f aca="false">TEXT(B153,"MMM-YYYY")</f>
        <v>Aug-2022</v>
      </c>
    </row>
    <row r="154" customFormat="false" ht="15" hidden="false" customHeight="true" outlineLevel="0" collapsed="false">
      <c r="A154" s="3" t="s">
        <v>250</v>
      </c>
      <c r="B154" s="4" t="n">
        <v>44805</v>
      </c>
      <c r="C154" s="3" t="s">
        <v>58</v>
      </c>
      <c r="D154" s="3" t="s">
        <v>48</v>
      </c>
      <c r="E154" s="3" t="s">
        <v>77</v>
      </c>
      <c r="F154" s="3" t="s">
        <v>81</v>
      </c>
      <c r="G154" s="5" t="s">
        <v>82</v>
      </c>
      <c r="H154" s="3" t="n">
        <v>15</v>
      </c>
      <c r="I154" s="6" t="n">
        <v>806</v>
      </c>
      <c r="J154" s="6" t="n">
        <v>600</v>
      </c>
      <c r="K154" s="3" t="n">
        <v>1</v>
      </c>
      <c r="L154" s="3" t="s">
        <v>26</v>
      </c>
      <c r="M154" s="6" t="n">
        <v>12090</v>
      </c>
      <c r="N154" s="6" t="n">
        <v>3090</v>
      </c>
      <c r="O154" s="12" t="n">
        <f aca="false">N154/M154</f>
        <v>0.255583126550869</v>
      </c>
      <c r="P154" s="13" t="n">
        <f aca="false">YEAR(B154)</f>
        <v>2022</v>
      </c>
      <c r="Q154" s="13" t="str">
        <f aca="false">"Q"&amp;ROUNDUP(MONTH(B154)/3,0)</f>
        <v>Q3</v>
      </c>
      <c r="R154" s="13" t="str">
        <f aca="false">TEXT(B154,"MMM-YYYY")</f>
        <v>Sep-2022</v>
      </c>
    </row>
    <row r="155" customFormat="false" ht="15" hidden="false" customHeight="true" outlineLevel="0" collapsed="false">
      <c r="A155" s="7" t="s">
        <v>251</v>
      </c>
      <c r="B155" s="8" t="n">
        <v>44806</v>
      </c>
      <c r="C155" s="7" t="s">
        <v>47</v>
      </c>
      <c r="D155" s="7" t="s">
        <v>48</v>
      </c>
      <c r="E155" s="7" t="s">
        <v>23</v>
      </c>
      <c r="F155" s="7" t="s">
        <v>49</v>
      </c>
      <c r="G155" s="9" t="s">
        <v>50</v>
      </c>
      <c r="H155" s="7" t="n">
        <v>4</v>
      </c>
      <c r="I155" s="10" t="n">
        <v>22518</v>
      </c>
      <c r="J155" s="10" t="n">
        <v>18000</v>
      </c>
      <c r="K155" s="7" t="n">
        <v>7</v>
      </c>
      <c r="L155" s="7" t="s">
        <v>26</v>
      </c>
      <c r="M155" s="10" t="n">
        <v>90072</v>
      </c>
      <c r="N155" s="10" t="n">
        <v>18072</v>
      </c>
      <c r="O155" s="14" t="n">
        <f aca="false">N155/M155</f>
        <v>0.200639488409273</v>
      </c>
      <c r="P155" s="15" t="n">
        <f aca="false">YEAR(B155)</f>
        <v>2022</v>
      </c>
      <c r="Q155" s="15" t="str">
        <f aca="false">"Q"&amp;ROUNDUP(MONTH(B155)/3,0)</f>
        <v>Q3</v>
      </c>
      <c r="R155" s="15" t="str">
        <f aca="false">TEXT(B155,"MMM-YYYY")</f>
        <v>Sep-2022</v>
      </c>
    </row>
    <row r="156" customFormat="false" ht="15" hidden="false" customHeight="true" outlineLevel="0" collapsed="false">
      <c r="A156" s="3" t="s">
        <v>252</v>
      </c>
      <c r="B156" s="4" t="n">
        <v>44806</v>
      </c>
      <c r="C156" s="3" t="s">
        <v>136</v>
      </c>
      <c r="D156" s="3" t="s">
        <v>35</v>
      </c>
      <c r="E156" s="3" t="s">
        <v>62</v>
      </c>
      <c r="F156" s="3" t="s">
        <v>103</v>
      </c>
      <c r="G156" s="5" t="s">
        <v>104</v>
      </c>
      <c r="H156" s="3" t="n">
        <v>15</v>
      </c>
      <c r="I156" s="6" t="n">
        <v>120</v>
      </c>
      <c r="J156" s="6" t="n">
        <v>90</v>
      </c>
      <c r="K156" s="3" t="n">
        <v>18</v>
      </c>
      <c r="L156" s="3" t="s">
        <v>20</v>
      </c>
      <c r="M156" s="6" t="n">
        <v>1800</v>
      </c>
      <c r="N156" s="6" t="n">
        <v>450</v>
      </c>
      <c r="O156" s="12" t="n">
        <f aca="false">N156/M156</f>
        <v>0.25</v>
      </c>
      <c r="P156" s="13" t="n">
        <f aca="false">YEAR(B156)</f>
        <v>2022</v>
      </c>
      <c r="Q156" s="13" t="str">
        <f aca="false">"Q"&amp;ROUNDUP(MONTH(B156)/3,0)</f>
        <v>Q3</v>
      </c>
      <c r="R156" s="13" t="str">
        <f aca="false">TEXT(B156,"MMM-YYYY")</f>
        <v>Sep-2022</v>
      </c>
    </row>
    <row r="157" customFormat="false" ht="15" hidden="false" customHeight="true" outlineLevel="0" collapsed="false">
      <c r="A157" s="7" t="s">
        <v>253</v>
      </c>
      <c r="B157" s="8" t="n">
        <v>44806</v>
      </c>
      <c r="C157" s="7" t="s">
        <v>136</v>
      </c>
      <c r="D157" s="7" t="s">
        <v>35</v>
      </c>
      <c r="E157" s="7" t="s">
        <v>77</v>
      </c>
      <c r="F157" s="7" t="s">
        <v>152</v>
      </c>
      <c r="G157" s="9" t="s">
        <v>153</v>
      </c>
      <c r="H157" s="7" t="n">
        <v>10</v>
      </c>
      <c r="I157" s="10" t="n">
        <v>506</v>
      </c>
      <c r="J157" s="10" t="n">
        <v>350</v>
      </c>
      <c r="K157" s="7" t="n">
        <v>34</v>
      </c>
      <c r="L157" s="7" t="s">
        <v>26</v>
      </c>
      <c r="M157" s="10" t="n">
        <v>5060</v>
      </c>
      <c r="N157" s="10" t="n">
        <v>1560</v>
      </c>
      <c r="O157" s="14" t="n">
        <f aca="false">N157/M157</f>
        <v>0.308300395256917</v>
      </c>
      <c r="P157" s="15" t="n">
        <f aca="false">YEAR(B157)</f>
        <v>2022</v>
      </c>
      <c r="Q157" s="15" t="str">
        <f aca="false">"Q"&amp;ROUNDUP(MONTH(B157)/3,0)</f>
        <v>Q3</v>
      </c>
      <c r="R157" s="15" t="str">
        <f aca="false">TEXT(B157,"MMM-YYYY")</f>
        <v>Sep-2022</v>
      </c>
    </row>
    <row r="158" customFormat="false" ht="15" hidden="false" customHeight="true" outlineLevel="0" collapsed="false">
      <c r="A158" s="3" t="s">
        <v>254</v>
      </c>
      <c r="B158" s="4" t="n">
        <v>44808</v>
      </c>
      <c r="C158" s="3" t="s">
        <v>136</v>
      </c>
      <c r="D158" s="3" t="s">
        <v>35</v>
      </c>
      <c r="E158" s="3" t="s">
        <v>39</v>
      </c>
      <c r="F158" s="3" t="s">
        <v>161</v>
      </c>
      <c r="G158" s="5" t="s">
        <v>162</v>
      </c>
      <c r="H158" s="3" t="n">
        <v>15</v>
      </c>
      <c r="I158" s="6" t="n">
        <v>419</v>
      </c>
      <c r="J158" s="6" t="n">
        <v>350</v>
      </c>
      <c r="K158" s="3" t="n">
        <v>3</v>
      </c>
      <c r="L158" s="3" t="s">
        <v>26</v>
      </c>
      <c r="M158" s="6" t="n">
        <v>6285</v>
      </c>
      <c r="N158" s="6" t="n">
        <v>1035</v>
      </c>
      <c r="O158" s="12" t="n">
        <f aca="false">N158/M158</f>
        <v>0.164677804295943</v>
      </c>
      <c r="P158" s="13" t="n">
        <f aca="false">YEAR(B158)</f>
        <v>2022</v>
      </c>
      <c r="Q158" s="13" t="str">
        <f aca="false">"Q"&amp;ROUNDUP(MONTH(B158)/3,0)</f>
        <v>Q3</v>
      </c>
      <c r="R158" s="13" t="str">
        <f aca="false">TEXT(B158,"MMM-YYYY")</f>
        <v>Sep-2022</v>
      </c>
    </row>
    <row r="159" customFormat="false" ht="15" hidden="false" customHeight="true" outlineLevel="0" collapsed="false">
      <c r="A159" s="7" t="s">
        <v>255</v>
      </c>
      <c r="B159" s="8" t="n">
        <v>44810</v>
      </c>
      <c r="C159" s="7" t="s">
        <v>52</v>
      </c>
      <c r="D159" s="7" t="s">
        <v>29</v>
      </c>
      <c r="E159" s="7" t="s">
        <v>30</v>
      </c>
      <c r="F159" s="7" t="s">
        <v>31</v>
      </c>
      <c r="G159" s="9" t="s">
        <v>32</v>
      </c>
      <c r="H159" s="7" t="n">
        <v>10</v>
      </c>
      <c r="I159" s="10" t="n">
        <v>1762</v>
      </c>
      <c r="J159" s="10" t="n">
        <v>1200</v>
      </c>
      <c r="K159" s="7" t="n">
        <v>15</v>
      </c>
      <c r="L159" s="7" t="s">
        <v>26</v>
      </c>
      <c r="M159" s="10" t="n">
        <v>17620</v>
      </c>
      <c r="N159" s="10" t="n">
        <v>5620</v>
      </c>
      <c r="O159" s="14" t="n">
        <f aca="false">N159/M159</f>
        <v>0.318955732122588</v>
      </c>
      <c r="P159" s="15" t="n">
        <f aca="false">YEAR(B159)</f>
        <v>2022</v>
      </c>
      <c r="Q159" s="15" t="str">
        <f aca="false">"Q"&amp;ROUNDUP(MONTH(B159)/3,0)</f>
        <v>Q3</v>
      </c>
      <c r="R159" s="15" t="str">
        <f aca="false">TEXT(B159,"MMM-YYYY")</f>
        <v>Sep-2022</v>
      </c>
    </row>
    <row r="160" customFormat="false" ht="15" hidden="false" customHeight="true" outlineLevel="0" collapsed="false">
      <c r="A160" s="3" t="s">
        <v>256</v>
      </c>
      <c r="B160" s="4" t="n">
        <v>44810</v>
      </c>
      <c r="C160" s="3" t="s">
        <v>136</v>
      </c>
      <c r="D160" s="3" t="s">
        <v>35</v>
      </c>
      <c r="E160" s="3" t="s">
        <v>17</v>
      </c>
      <c r="F160" s="3" t="s">
        <v>18</v>
      </c>
      <c r="G160" s="5" t="s">
        <v>19</v>
      </c>
      <c r="H160" s="3" t="n">
        <v>7</v>
      </c>
      <c r="I160" s="6" t="n">
        <v>1234</v>
      </c>
      <c r="J160" s="6" t="n">
        <v>900</v>
      </c>
      <c r="K160" s="3" t="n">
        <v>41</v>
      </c>
      <c r="L160" s="3" t="s">
        <v>20</v>
      </c>
      <c r="M160" s="6" t="n">
        <v>8638</v>
      </c>
      <c r="N160" s="6" t="n">
        <v>2338</v>
      </c>
      <c r="O160" s="12" t="n">
        <f aca="false">N160/M160</f>
        <v>0.270664505672609</v>
      </c>
      <c r="P160" s="13" t="n">
        <f aca="false">YEAR(B160)</f>
        <v>2022</v>
      </c>
      <c r="Q160" s="13" t="str">
        <f aca="false">"Q"&amp;ROUNDUP(MONTH(B160)/3,0)</f>
        <v>Q3</v>
      </c>
      <c r="R160" s="13" t="str">
        <f aca="false">TEXT(B160,"MMM-YYYY")</f>
        <v>Sep-2022</v>
      </c>
    </row>
    <row r="161" customFormat="false" ht="15" hidden="false" customHeight="true" outlineLevel="0" collapsed="false">
      <c r="A161" s="7" t="s">
        <v>257</v>
      </c>
      <c r="B161" s="8" t="n">
        <v>44811</v>
      </c>
      <c r="C161" s="7" t="s">
        <v>52</v>
      </c>
      <c r="D161" s="7" t="s">
        <v>29</v>
      </c>
      <c r="E161" s="7" t="s">
        <v>23</v>
      </c>
      <c r="F161" s="7" t="s">
        <v>204</v>
      </c>
      <c r="G161" s="9" t="s">
        <v>205</v>
      </c>
      <c r="H161" s="7" t="n">
        <v>10</v>
      </c>
      <c r="I161" s="10" t="n">
        <v>2227</v>
      </c>
      <c r="J161" s="10" t="n">
        <v>1800</v>
      </c>
      <c r="K161" s="7" t="n">
        <v>9</v>
      </c>
      <c r="L161" s="7" t="s">
        <v>26</v>
      </c>
      <c r="M161" s="10" t="n">
        <v>22270</v>
      </c>
      <c r="N161" s="10" t="n">
        <v>4270</v>
      </c>
      <c r="O161" s="14" t="n">
        <f aca="false">N161/M161</f>
        <v>0.191737763807813</v>
      </c>
      <c r="P161" s="15" t="n">
        <f aca="false">YEAR(B161)</f>
        <v>2022</v>
      </c>
      <c r="Q161" s="15" t="str">
        <f aca="false">"Q"&amp;ROUNDUP(MONTH(B161)/3,0)</f>
        <v>Q3</v>
      </c>
      <c r="R161" s="15" t="str">
        <f aca="false">TEXT(B161,"MMM-YYYY")</f>
        <v>Sep-2022</v>
      </c>
    </row>
    <row r="162" customFormat="false" ht="15" hidden="false" customHeight="true" outlineLevel="0" collapsed="false">
      <c r="A162" s="3" t="s">
        <v>258</v>
      </c>
      <c r="B162" s="4" t="n">
        <v>44813</v>
      </c>
      <c r="C162" s="3" t="s">
        <v>28</v>
      </c>
      <c r="D162" s="3" t="s">
        <v>29</v>
      </c>
      <c r="E162" s="3" t="s">
        <v>17</v>
      </c>
      <c r="F162" s="3" t="s">
        <v>54</v>
      </c>
      <c r="G162" s="5" t="s">
        <v>55</v>
      </c>
      <c r="H162" s="3" t="n">
        <v>12</v>
      </c>
      <c r="I162" s="6" t="n">
        <v>626</v>
      </c>
      <c r="J162" s="6" t="n">
        <v>450</v>
      </c>
      <c r="K162" s="3" t="n">
        <v>23</v>
      </c>
      <c r="L162" s="3" t="s">
        <v>26</v>
      </c>
      <c r="M162" s="6" t="n">
        <v>7512</v>
      </c>
      <c r="N162" s="6" t="n">
        <v>2112</v>
      </c>
      <c r="O162" s="12" t="n">
        <f aca="false">N162/M162</f>
        <v>0.281150159744409</v>
      </c>
      <c r="P162" s="13" t="n">
        <f aca="false">YEAR(B162)</f>
        <v>2022</v>
      </c>
      <c r="Q162" s="13" t="str">
        <f aca="false">"Q"&amp;ROUNDUP(MONTH(B162)/3,0)</f>
        <v>Q3</v>
      </c>
      <c r="R162" s="13" t="str">
        <f aca="false">TEXT(B162,"MMM-YYYY")</f>
        <v>Sep-2022</v>
      </c>
    </row>
    <row r="163" customFormat="false" ht="15" hidden="false" customHeight="true" outlineLevel="0" collapsed="false">
      <c r="A163" s="7" t="s">
        <v>259</v>
      </c>
      <c r="B163" s="8" t="n">
        <v>44813</v>
      </c>
      <c r="C163" s="7" t="s">
        <v>94</v>
      </c>
      <c r="D163" s="7" t="s">
        <v>48</v>
      </c>
      <c r="E163" s="7" t="s">
        <v>77</v>
      </c>
      <c r="F163" s="7" t="s">
        <v>78</v>
      </c>
      <c r="G163" s="9" t="s">
        <v>79</v>
      </c>
      <c r="H163" s="7" t="n">
        <v>4</v>
      </c>
      <c r="I163" s="10" t="n">
        <v>1217</v>
      </c>
      <c r="J163" s="10" t="n">
        <v>900</v>
      </c>
      <c r="K163" s="7" t="n">
        <v>20</v>
      </c>
      <c r="L163" s="7" t="s">
        <v>26</v>
      </c>
      <c r="M163" s="10" t="n">
        <v>4868</v>
      </c>
      <c r="N163" s="10" t="n">
        <v>1268</v>
      </c>
      <c r="O163" s="14" t="n">
        <f aca="false">N163/M163</f>
        <v>0.260476581758422</v>
      </c>
      <c r="P163" s="15" t="n">
        <f aca="false">YEAR(B163)</f>
        <v>2022</v>
      </c>
      <c r="Q163" s="15" t="str">
        <f aca="false">"Q"&amp;ROUNDUP(MONTH(B163)/3,0)</f>
        <v>Q3</v>
      </c>
      <c r="R163" s="15" t="str">
        <f aca="false">TEXT(B163,"MMM-YYYY")</f>
        <v>Sep-2022</v>
      </c>
    </row>
    <row r="164" customFormat="false" ht="15" hidden="false" customHeight="true" outlineLevel="0" collapsed="false">
      <c r="A164" s="3" t="s">
        <v>260</v>
      </c>
      <c r="B164" s="4" t="n">
        <v>44814</v>
      </c>
      <c r="C164" s="3" t="s">
        <v>111</v>
      </c>
      <c r="D164" s="3" t="s">
        <v>29</v>
      </c>
      <c r="E164" s="3" t="s">
        <v>39</v>
      </c>
      <c r="F164" s="3" t="s">
        <v>220</v>
      </c>
      <c r="G164" s="5" t="s">
        <v>221</v>
      </c>
      <c r="H164" s="3" t="n">
        <v>13</v>
      </c>
      <c r="I164" s="6" t="n">
        <v>208</v>
      </c>
      <c r="J164" s="6" t="n">
        <v>180</v>
      </c>
      <c r="K164" s="3" t="n">
        <v>29</v>
      </c>
      <c r="L164" s="3" t="s">
        <v>20</v>
      </c>
      <c r="M164" s="6" t="n">
        <v>2704</v>
      </c>
      <c r="N164" s="6" t="n">
        <v>364</v>
      </c>
      <c r="O164" s="12" t="n">
        <f aca="false">N164/M164</f>
        <v>0.134615384615385</v>
      </c>
      <c r="P164" s="13" t="n">
        <f aca="false">YEAR(B164)</f>
        <v>2022</v>
      </c>
      <c r="Q164" s="13" t="str">
        <f aca="false">"Q"&amp;ROUNDUP(MONTH(B164)/3,0)</f>
        <v>Q3</v>
      </c>
      <c r="R164" s="13" t="str">
        <f aca="false">TEXT(B164,"MMM-YYYY")</f>
        <v>Sep-2022</v>
      </c>
    </row>
    <row r="165" customFormat="false" ht="15" hidden="false" customHeight="true" outlineLevel="0" collapsed="false">
      <c r="A165" s="7" t="s">
        <v>261</v>
      </c>
      <c r="B165" s="8" t="n">
        <v>44815</v>
      </c>
      <c r="C165" s="7" t="s">
        <v>111</v>
      </c>
      <c r="D165" s="7" t="s">
        <v>29</v>
      </c>
      <c r="E165" s="7" t="s">
        <v>77</v>
      </c>
      <c r="F165" s="7" t="s">
        <v>129</v>
      </c>
      <c r="G165" s="9" t="s">
        <v>130</v>
      </c>
      <c r="H165" s="7" t="n">
        <v>13</v>
      </c>
      <c r="I165" s="10" t="n">
        <v>172</v>
      </c>
      <c r="J165" s="10" t="n">
        <v>120</v>
      </c>
      <c r="K165" s="7" t="n">
        <v>48</v>
      </c>
      <c r="L165" s="7" t="s">
        <v>20</v>
      </c>
      <c r="M165" s="10" t="n">
        <v>2236</v>
      </c>
      <c r="N165" s="10" t="n">
        <v>676</v>
      </c>
      <c r="O165" s="14" t="n">
        <f aca="false">N165/M165</f>
        <v>0.302325581395349</v>
      </c>
      <c r="P165" s="15" t="n">
        <f aca="false">YEAR(B165)</f>
        <v>2022</v>
      </c>
      <c r="Q165" s="15" t="str">
        <f aca="false">"Q"&amp;ROUNDUP(MONTH(B165)/3,0)</f>
        <v>Q3</v>
      </c>
      <c r="R165" s="15" t="str">
        <f aca="false">TEXT(B165,"MMM-YYYY")</f>
        <v>Sep-2022</v>
      </c>
    </row>
    <row r="166" customFormat="false" ht="15" hidden="false" customHeight="true" outlineLevel="0" collapsed="false">
      <c r="A166" s="3" t="s">
        <v>262</v>
      </c>
      <c r="B166" s="4" t="n">
        <v>44815</v>
      </c>
      <c r="C166" s="3" t="s">
        <v>72</v>
      </c>
      <c r="D166" s="3" t="s">
        <v>35</v>
      </c>
      <c r="E166" s="3" t="s">
        <v>77</v>
      </c>
      <c r="F166" s="3" t="s">
        <v>152</v>
      </c>
      <c r="G166" s="5" t="s">
        <v>153</v>
      </c>
      <c r="H166" s="3" t="n">
        <v>3</v>
      </c>
      <c r="I166" s="6" t="n">
        <v>493</v>
      </c>
      <c r="J166" s="6" t="n">
        <v>350</v>
      </c>
      <c r="K166" s="3" t="n">
        <v>15</v>
      </c>
      <c r="L166" s="3" t="s">
        <v>20</v>
      </c>
      <c r="M166" s="6" t="n">
        <v>1479</v>
      </c>
      <c r="N166" s="6" t="n">
        <v>429</v>
      </c>
      <c r="O166" s="12" t="n">
        <f aca="false">N166/M166</f>
        <v>0.290060851926978</v>
      </c>
      <c r="P166" s="13" t="n">
        <f aca="false">YEAR(B166)</f>
        <v>2022</v>
      </c>
      <c r="Q166" s="13" t="str">
        <f aca="false">"Q"&amp;ROUNDUP(MONTH(B166)/3,0)</f>
        <v>Q3</v>
      </c>
      <c r="R166" s="13" t="str">
        <f aca="false">TEXT(B166,"MMM-YYYY")</f>
        <v>Sep-2022</v>
      </c>
    </row>
    <row r="167" customFormat="false" ht="15" hidden="false" customHeight="true" outlineLevel="0" collapsed="false">
      <c r="A167" s="7" t="s">
        <v>263</v>
      </c>
      <c r="B167" s="8" t="n">
        <v>44816</v>
      </c>
      <c r="C167" s="7" t="s">
        <v>43</v>
      </c>
      <c r="D167" s="7" t="s">
        <v>16</v>
      </c>
      <c r="E167" s="7" t="s">
        <v>17</v>
      </c>
      <c r="F167" s="7" t="s">
        <v>18</v>
      </c>
      <c r="G167" s="9" t="s">
        <v>19</v>
      </c>
      <c r="H167" s="7" t="n">
        <v>15</v>
      </c>
      <c r="I167" s="10" t="n">
        <v>1220</v>
      </c>
      <c r="J167" s="10" t="n">
        <v>900</v>
      </c>
      <c r="K167" s="7" t="n">
        <v>32</v>
      </c>
      <c r="L167" s="7" t="s">
        <v>26</v>
      </c>
      <c r="M167" s="10" t="n">
        <v>18300</v>
      </c>
      <c r="N167" s="10" t="n">
        <v>4800</v>
      </c>
      <c r="O167" s="14" t="n">
        <f aca="false">N167/M167</f>
        <v>0.262295081967213</v>
      </c>
      <c r="P167" s="15" t="n">
        <f aca="false">YEAR(B167)</f>
        <v>2022</v>
      </c>
      <c r="Q167" s="15" t="str">
        <f aca="false">"Q"&amp;ROUNDUP(MONTH(B167)/3,0)</f>
        <v>Q3</v>
      </c>
      <c r="R167" s="15" t="str">
        <f aca="false">TEXT(B167,"MMM-YYYY")</f>
        <v>Sep-2022</v>
      </c>
    </row>
    <row r="168" customFormat="false" ht="15" hidden="false" customHeight="true" outlineLevel="0" collapsed="false">
      <c r="A168" s="3" t="s">
        <v>264</v>
      </c>
      <c r="B168" s="4" t="n">
        <v>44816</v>
      </c>
      <c r="C168" s="3" t="s">
        <v>58</v>
      </c>
      <c r="D168" s="3" t="s">
        <v>48</v>
      </c>
      <c r="E168" s="3" t="s">
        <v>62</v>
      </c>
      <c r="F168" s="3" t="s">
        <v>96</v>
      </c>
      <c r="G168" s="5" t="s">
        <v>97</v>
      </c>
      <c r="H168" s="3" t="n">
        <v>14</v>
      </c>
      <c r="I168" s="6" t="n">
        <v>105</v>
      </c>
      <c r="J168" s="6" t="n">
        <v>80</v>
      </c>
      <c r="K168" s="3" t="n">
        <v>3</v>
      </c>
      <c r="L168" s="3" t="s">
        <v>26</v>
      </c>
      <c r="M168" s="6" t="n">
        <v>1470</v>
      </c>
      <c r="N168" s="6" t="n">
        <v>350</v>
      </c>
      <c r="O168" s="12" t="n">
        <f aca="false">N168/M168</f>
        <v>0.238095238095238</v>
      </c>
      <c r="P168" s="13" t="n">
        <f aca="false">YEAR(B168)</f>
        <v>2022</v>
      </c>
      <c r="Q168" s="13" t="str">
        <f aca="false">"Q"&amp;ROUNDUP(MONTH(B168)/3,0)</f>
        <v>Q3</v>
      </c>
      <c r="R168" s="13" t="str">
        <f aca="false">TEXT(B168,"MMM-YYYY")</f>
        <v>Sep-2022</v>
      </c>
    </row>
    <row r="169" customFormat="false" ht="15" hidden="false" customHeight="true" outlineLevel="0" collapsed="false">
      <c r="A169" s="7" t="s">
        <v>265</v>
      </c>
      <c r="B169" s="8" t="n">
        <v>44820</v>
      </c>
      <c r="C169" s="7" t="s">
        <v>94</v>
      </c>
      <c r="D169" s="7" t="s">
        <v>48</v>
      </c>
      <c r="E169" s="7" t="s">
        <v>23</v>
      </c>
      <c r="F169" s="7" t="s">
        <v>198</v>
      </c>
      <c r="G169" s="9" t="s">
        <v>199</v>
      </c>
      <c r="H169" s="7" t="n">
        <v>2</v>
      </c>
      <c r="I169" s="10" t="n">
        <v>1050</v>
      </c>
      <c r="J169" s="10" t="n">
        <v>900</v>
      </c>
      <c r="K169" s="7" t="n">
        <v>49</v>
      </c>
      <c r="L169" s="7" t="s">
        <v>20</v>
      </c>
      <c r="M169" s="10" t="n">
        <v>2100</v>
      </c>
      <c r="N169" s="10" t="n">
        <v>300</v>
      </c>
      <c r="O169" s="14" t="n">
        <f aca="false">N169/M169</f>
        <v>0.142857142857143</v>
      </c>
      <c r="P169" s="15" t="n">
        <f aca="false">YEAR(B169)</f>
        <v>2022</v>
      </c>
      <c r="Q169" s="15" t="str">
        <f aca="false">"Q"&amp;ROUNDUP(MONTH(B169)/3,0)</f>
        <v>Q3</v>
      </c>
      <c r="R169" s="15" t="str">
        <f aca="false">TEXT(B169,"MMM-YYYY")</f>
        <v>Sep-2022</v>
      </c>
    </row>
    <row r="170" customFormat="false" ht="15" hidden="false" customHeight="true" outlineLevel="0" collapsed="false">
      <c r="A170" s="3" t="s">
        <v>266</v>
      </c>
      <c r="B170" s="4" t="n">
        <v>44824</v>
      </c>
      <c r="C170" s="3" t="s">
        <v>28</v>
      </c>
      <c r="D170" s="3" t="s">
        <v>29</v>
      </c>
      <c r="E170" s="3" t="s">
        <v>30</v>
      </c>
      <c r="F170" s="3" t="s">
        <v>87</v>
      </c>
      <c r="G170" s="5" t="s">
        <v>88</v>
      </c>
      <c r="H170" s="3" t="n">
        <v>14</v>
      </c>
      <c r="I170" s="6" t="n">
        <v>1000</v>
      </c>
      <c r="J170" s="6" t="n">
        <v>700</v>
      </c>
      <c r="K170" s="3" t="n">
        <v>2</v>
      </c>
      <c r="L170" s="3" t="s">
        <v>26</v>
      </c>
      <c r="M170" s="6" t="n">
        <v>14000</v>
      </c>
      <c r="N170" s="6" t="n">
        <v>4200</v>
      </c>
      <c r="O170" s="12" t="n">
        <f aca="false">N170/M170</f>
        <v>0.3</v>
      </c>
      <c r="P170" s="13" t="n">
        <f aca="false">YEAR(B170)</f>
        <v>2022</v>
      </c>
      <c r="Q170" s="13" t="str">
        <f aca="false">"Q"&amp;ROUNDUP(MONTH(B170)/3,0)</f>
        <v>Q3</v>
      </c>
      <c r="R170" s="13" t="str">
        <f aca="false">TEXT(B170,"MMM-YYYY")</f>
        <v>Sep-2022</v>
      </c>
    </row>
    <row r="171" customFormat="false" ht="15" hidden="false" customHeight="true" outlineLevel="0" collapsed="false">
      <c r="A171" s="7" t="s">
        <v>267</v>
      </c>
      <c r="B171" s="8" t="n">
        <v>44826</v>
      </c>
      <c r="C171" s="7" t="s">
        <v>47</v>
      </c>
      <c r="D171" s="7" t="s">
        <v>48</v>
      </c>
      <c r="E171" s="7" t="s">
        <v>77</v>
      </c>
      <c r="F171" s="7" t="s">
        <v>78</v>
      </c>
      <c r="G171" s="9" t="s">
        <v>79</v>
      </c>
      <c r="H171" s="7" t="n">
        <v>6</v>
      </c>
      <c r="I171" s="10" t="n">
        <v>1300</v>
      </c>
      <c r="J171" s="10" t="n">
        <v>900</v>
      </c>
      <c r="K171" s="7" t="n">
        <v>0</v>
      </c>
      <c r="L171" s="7" t="s">
        <v>26</v>
      </c>
      <c r="M171" s="10" t="n">
        <v>7800</v>
      </c>
      <c r="N171" s="10" t="n">
        <v>2400</v>
      </c>
      <c r="O171" s="14" t="n">
        <f aca="false">N171/M171</f>
        <v>0.307692307692308</v>
      </c>
      <c r="P171" s="15" t="n">
        <f aca="false">YEAR(B171)</f>
        <v>2022</v>
      </c>
      <c r="Q171" s="15" t="str">
        <f aca="false">"Q"&amp;ROUNDUP(MONTH(B171)/3,0)</f>
        <v>Q3</v>
      </c>
      <c r="R171" s="15" t="str">
        <f aca="false">TEXT(B171,"MMM-YYYY")</f>
        <v>Sep-2022</v>
      </c>
    </row>
    <row r="172" customFormat="false" ht="15" hidden="false" customHeight="true" outlineLevel="0" collapsed="false">
      <c r="A172" s="3" t="s">
        <v>268</v>
      </c>
      <c r="B172" s="4" t="n">
        <v>44829</v>
      </c>
      <c r="C172" s="3" t="s">
        <v>94</v>
      </c>
      <c r="D172" s="3" t="s">
        <v>48</v>
      </c>
      <c r="E172" s="3" t="s">
        <v>62</v>
      </c>
      <c r="F172" s="3" t="s">
        <v>96</v>
      </c>
      <c r="G172" s="5" t="s">
        <v>97</v>
      </c>
      <c r="H172" s="3" t="n">
        <v>7</v>
      </c>
      <c r="I172" s="6" t="n">
        <v>109</v>
      </c>
      <c r="J172" s="6" t="n">
        <v>80</v>
      </c>
      <c r="K172" s="3" t="n">
        <v>42</v>
      </c>
      <c r="L172" s="3" t="s">
        <v>26</v>
      </c>
      <c r="M172" s="6" t="n">
        <v>763</v>
      </c>
      <c r="N172" s="6" t="n">
        <v>203</v>
      </c>
      <c r="O172" s="12" t="n">
        <f aca="false">N172/M172</f>
        <v>0.26605504587156</v>
      </c>
      <c r="P172" s="13" t="n">
        <f aca="false">YEAR(B172)</f>
        <v>2022</v>
      </c>
      <c r="Q172" s="13" t="str">
        <f aca="false">"Q"&amp;ROUNDUP(MONTH(B172)/3,0)</f>
        <v>Q3</v>
      </c>
      <c r="R172" s="13" t="str">
        <f aca="false">TEXT(B172,"MMM-YYYY")</f>
        <v>Sep-2022</v>
      </c>
    </row>
    <row r="173" customFormat="false" ht="15" hidden="false" customHeight="true" outlineLevel="0" collapsed="false">
      <c r="A173" s="7" t="s">
        <v>269</v>
      </c>
      <c r="B173" s="8" t="n">
        <v>44832</v>
      </c>
      <c r="C173" s="7" t="s">
        <v>34</v>
      </c>
      <c r="D173" s="7" t="s">
        <v>35</v>
      </c>
      <c r="E173" s="7" t="s">
        <v>39</v>
      </c>
      <c r="F173" s="7" t="s">
        <v>161</v>
      </c>
      <c r="G173" s="9" t="s">
        <v>162</v>
      </c>
      <c r="H173" s="7" t="n">
        <v>8</v>
      </c>
      <c r="I173" s="10" t="n">
        <v>421</v>
      </c>
      <c r="J173" s="10" t="n">
        <v>350</v>
      </c>
      <c r="K173" s="7" t="n">
        <v>49</v>
      </c>
      <c r="L173" s="7" t="s">
        <v>20</v>
      </c>
      <c r="M173" s="10" t="n">
        <v>3368</v>
      </c>
      <c r="N173" s="10" t="n">
        <v>568</v>
      </c>
      <c r="O173" s="14" t="n">
        <f aca="false">N173/M173</f>
        <v>0.168646080760095</v>
      </c>
      <c r="P173" s="15" t="n">
        <f aca="false">YEAR(B173)</f>
        <v>2022</v>
      </c>
      <c r="Q173" s="15" t="str">
        <f aca="false">"Q"&amp;ROUNDUP(MONTH(B173)/3,0)</f>
        <v>Q3</v>
      </c>
      <c r="R173" s="15" t="str">
        <f aca="false">TEXT(B173,"MMM-YYYY")</f>
        <v>Sep-2022</v>
      </c>
    </row>
    <row r="174" customFormat="false" ht="15" hidden="false" customHeight="true" outlineLevel="0" collapsed="false">
      <c r="A174" s="3" t="s">
        <v>270</v>
      </c>
      <c r="B174" s="4" t="n">
        <v>44832</v>
      </c>
      <c r="C174" s="3" t="s">
        <v>52</v>
      </c>
      <c r="D174" s="3" t="s">
        <v>29</v>
      </c>
      <c r="E174" s="3" t="s">
        <v>62</v>
      </c>
      <c r="F174" s="3" t="s">
        <v>84</v>
      </c>
      <c r="G174" s="5" t="s">
        <v>85</v>
      </c>
      <c r="H174" s="3" t="n">
        <v>1</v>
      </c>
      <c r="I174" s="6" t="n">
        <v>462</v>
      </c>
      <c r="J174" s="6" t="n">
        <v>350</v>
      </c>
      <c r="K174" s="3" t="n">
        <v>1</v>
      </c>
      <c r="L174" s="3" t="s">
        <v>20</v>
      </c>
      <c r="M174" s="6" t="n">
        <v>462</v>
      </c>
      <c r="N174" s="6" t="n">
        <v>112</v>
      </c>
      <c r="O174" s="12" t="n">
        <f aca="false">N174/M174</f>
        <v>0.242424242424242</v>
      </c>
      <c r="P174" s="13" t="n">
        <f aca="false">YEAR(B174)</f>
        <v>2022</v>
      </c>
      <c r="Q174" s="13" t="str">
        <f aca="false">"Q"&amp;ROUNDUP(MONTH(B174)/3,0)</f>
        <v>Q3</v>
      </c>
      <c r="R174" s="13" t="str">
        <f aca="false">TEXT(B174,"MMM-YYYY")</f>
        <v>Sep-2022</v>
      </c>
    </row>
    <row r="175" customFormat="false" ht="15" hidden="false" customHeight="true" outlineLevel="0" collapsed="false">
      <c r="A175" s="7" t="s">
        <v>271</v>
      </c>
      <c r="B175" s="8" t="n">
        <v>44833</v>
      </c>
      <c r="C175" s="7" t="s">
        <v>28</v>
      </c>
      <c r="D175" s="7" t="s">
        <v>29</v>
      </c>
      <c r="E175" s="7" t="s">
        <v>17</v>
      </c>
      <c r="F175" s="7" t="s">
        <v>18</v>
      </c>
      <c r="G175" s="9" t="s">
        <v>19</v>
      </c>
      <c r="H175" s="7" t="n">
        <v>7</v>
      </c>
      <c r="I175" s="10" t="n">
        <v>1288</v>
      </c>
      <c r="J175" s="10" t="n">
        <v>900</v>
      </c>
      <c r="K175" s="7" t="n">
        <v>10</v>
      </c>
      <c r="L175" s="7" t="s">
        <v>26</v>
      </c>
      <c r="M175" s="10" t="n">
        <v>9016</v>
      </c>
      <c r="N175" s="10" t="n">
        <v>2716</v>
      </c>
      <c r="O175" s="14" t="n">
        <f aca="false">N175/M175</f>
        <v>0.301242236024845</v>
      </c>
      <c r="P175" s="15" t="n">
        <f aca="false">YEAR(B175)</f>
        <v>2022</v>
      </c>
      <c r="Q175" s="15" t="str">
        <f aca="false">"Q"&amp;ROUNDUP(MONTH(B175)/3,0)</f>
        <v>Q3</v>
      </c>
      <c r="R175" s="15" t="str">
        <f aca="false">TEXT(B175,"MMM-YYYY")</f>
        <v>Sep-2022</v>
      </c>
    </row>
    <row r="176" customFormat="false" ht="15" hidden="false" customHeight="true" outlineLevel="0" collapsed="false">
      <c r="A176" s="3" t="s">
        <v>272</v>
      </c>
      <c r="B176" s="4" t="n">
        <v>44834</v>
      </c>
      <c r="C176" s="3" t="s">
        <v>94</v>
      </c>
      <c r="D176" s="3" t="s">
        <v>48</v>
      </c>
      <c r="E176" s="3" t="s">
        <v>77</v>
      </c>
      <c r="F176" s="3" t="s">
        <v>152</v>
      </c>
      <c r="G176" s="5" t="s">
        <v>153</v>
      </c>
      <c r="H176" s="3" t="n">
        <v>9</v>
      </c>
      <c r="I176" s="6" t="n">
        <v>479</v>
      </c>
      <c r="J176" s="6" t="n">
        <v>350</v>
      </c>
      <c r="K176" s="3" t="n">
        <v>2</v>
      </c>
      <c r="L176" s="3" t="s">
        <v>26</v>
      </c>
      <c r="M176" s="6" t="n">
        <v>4311</v>
      </c>
      <c r="N176" s="6" t="n">
        <v>1161</v>
      </c>
      <c r="O176" s="12" t="n">
        <f aca="false">N176/M176</f>
        <v>0.269311064718163</v>
      </c>
      <c r="P176" s="13" t="n">
        <f aca="false">YEAR(B176)</f>
        <v>2022</v>
      </c>
      <c r="Q176" s="13" t="str">
        <f aca="false">"Q"&amp;ROUNDUP(MONTH(B176)/3,0)</f>
        <v>Q3</v>
      </c>
      <c r="R176" s="13" t="str">
        <f aca="false">TEXT(B176,"MMM-YYYY")</f>
        <v>Sep-2022</v>
      </c>
    </row>
    <row r="177" customFormat="false" ht="15" hidden="false" customHeight="true" outlineLevel="0" collapsed="false">
      <c r="A177" s="7" t="s">
        <v>273</v>
      </c>
      <c r="B177" s="8" t="n">
        <v>44835</v>
      </c>
      <c r="C177" s="7" t="s">
        <v>28</v>
      </c>
      <c r="D177" s="7" t="s">
        <v>29</v>
      </c>
      <c r="E177" s="7" t="s">
        <v>39</v>
      </c>
      <c r="F177" s="7" t="s">
        <v>99</v>
      </c>
      <c r="G177" s="9" t="s">
        <v>100</v>
      </c>
      <c r="H177" s="7" t="n">
        <v>1</v>
      </c>
      <c r="I177" s="10" t="n">
        <v>269</v>
      </c>
      <c r="J177" s="10" t="n">
        <v>220</v>
      </c>
      <c r="K177" s="7" t="n">
        <v>49</v>
      </c>
      <c r="L177" s="7" t="s">
        <v>20</v>
      </c>
      <c r="M177" s="10" t="n">
        <v>269</v>
      </c>
      <c r="N177" s="10" t="n">
        <v>49</v>
      </c>
      <c r="O177" s="14" t="n">
        <f aca="false">N177/M177</f>
        <v>0.182156133828996</v>
      </c>
      <c r="P177" s="15" t="n">
        <f aca="false">YEAR(B177)</f>
        <v>2022</v>
      </c>
      <c r="Q177" s="15" t="str">
        <f aca="false">"Q"&amp;ROUNDUP(MONTH(B177)/3,0)</f>
        <v>Q4</v>
      </c>
      <c r="R177" s="15" t="str">
        <f aca="false">TEXT(B177,"MMM-YYYY")</f>
        <v>Oct-2022</v>
      </c>
    </row>
    <row r="178" customFormat="false" ht="15" hidden="false" customHeight="true" outlineLevel="0" collapsed="false">
      <c r="A178" s="3" t="s">
        <v>274</v>
      </c>
      <c r="B178" s="4" t="n">
        <v>44835</v>
      </c>
      <c r="C178" s="3" t="s">
        <v>43</v>
      </c>
      <c r="D178" s="3" t="s">
        <v>16</v>
      </c>
      <c r="E178" s="3" t="s">
        <v>17</v>
      </c>
      <c r="F178" s="3" t="s">
        <v>66</v>
      </c>
      <c r="G178" s="5" t="s">
        <v>67</v>
      </c>
      <c r="H178" s="3" t="n">
        <v>1</v>
      </c>
      <c r="I178" s="6" t="n">
        <v>511</v>
      </c>
      <c r="J178" s="6" t="n">
        <v>350</v>
      </c>
      <c r="K178" s="3" t="n">
        <v>30</v>
      </c>
      <c r="L178" s="3" t="s">
        <v>26</v>
      </c>
      <c r="M178" s="6" t="n">
        <v>511</v>
      </c>
      <c r="N178" s="6" t="n">
        <v>161</v>
      </c>
      <c r="O178" s="12" t="n">
        <f aca="false">N178/M178</f>
        <v>0.315068493150685</v>
      </c>
      <c r="P178" s="13" t="n">
        <f aca="false">YEAR(B178)</f>
        <v>2022</v>
      </c>
      <c r="Q178" s="13" t="str">
        <f aca="false">"Q"&amp;ROUNDUP(MONTH(B178)/3,0)</f>
        <v>Q4</v>
      </c>
      <c r="R178" s="13" t="str">
        <f aca="false">TEXT(B178,"MMM-YYYY")</f>
        <v>Oct-2022</v>
      </c>
    </row>
    <row r="179" customFormat="false" ht="15" hidden="false" customHeight="true" outlineLevel="0" collapsed="false">
      <c r="A179" s="7" t="s">
        <v>275</v>
      </c>
      <c r="B179" s="8" t="n">
        <v>44838</v>
      </c>
      <c r="C179" s="7" t="s">
        <v>111</v>
      </c>
      <c r="D179" s="7" t="s">
        <v>29</v>
      </c>
      <c r="E179" s="7" t="s">
        <v>39</v>
      </c>
      <c r="F179" s="7" t="s">
        <v>220</v>
      </c>
      <c r="G179" s="9" t="s">
        <v>221</v>
      </c>
      <c r="H179" s="7" t="n">
        <v>7</v>
      </c>
      <c r="I179" s="10" t="n">
        <v>217</v>
      </c>
      <c r="J179" s="10" t="n">
        <v>180</v>
      </c>
      <c r="K179" s="7" t="n">
        <v>39</v>
      </c>
      <c r="L179" s="7" t="s">
        <v>20</v>
      </c>
      <c r="M179" s="10" t="n">
        <v>1519</v>
      </c>
      <c r="N179" s="10" t="n">
        <v>259</v>
      </c>
      <c r="O179" s="14" t="n">
        <f aca="false">N179/M179</f>
        <v>0.170506912442396</v>
      </c>
      <c r="P179" s="15" t="n">
        <f aca="false">YEAR(B179)</f>
        <v>2022</v>
      </c>
      <c r="Q179" s="15" t="str">
        <f aca="false">"Q"&amp;ROUNDUP(MONTH(B179)/3,0)</f>
        <v>Q4</v>
      </c>
      <c r="R179" s="15" t="str">
        <f aca="false">TEXT(B179,"MMM-YYYY")</f>
        <v>Oct-2022</v>
      </c>
    </row>
    <row r="180" customFormat="false" ht="15" hidden="false" customHeight="true" outlineLevel="0" collapsed="false">
      <c r="A180" s="3" t="s">
        <v>276</v>
      </c>
      <c r="B180" s="4" t="n">
        <v>44841</v>
      </c>
      <c r="C180" s="3" t="s">
        <v>111</v>
      </c>
      <c r="D180" s="3" t="s">
        <v>29</v>
      </c>
      <c r="E180" s="3" t="s">
        <v>30</v>
      </c>
      <c r="F180" s="3" t="s">
        <v>126</v>
      </c>
      <c r="G180" s="5" t="s">
        <v>127</v>
      </c>
      <c r="H180" s="3" t="n">
        <v>9</v>
      </c>
      <c r="I180" s="6" t="n">
        <v>559</v>
      </c>
      <c r="J180" s="6" t="n">
        <v>400</v>
      </c>
      <c r="K180" s="3" t="n">
        <v>39</v>
      </c>
      <c r="L180" s="3" t="s">
        <v>26</v>
      </c>
      <c r="M180" s="6" t="n">
        <v>5031</v>
      </c>
      <c r="N180" s="6" t="n">
        <v>1431</v>
      </c>
      <c r="O180" s="12" t="n">
        <f aca="false">N180/M180</f>
        <v>0.284436493738819</v>
      </c>
      <c r="P180" s="13" t="n">
        <f aca="false">YEAR(B180)</f>
        <v>2022</v>
      </c>
      <c r="Q180" s="13" t="str">
        <f aca="false">"Q"&amp;ROUNDUP(MONTH(B180)/3,0)</f>
        <v>Q4</v>
      </c>
      <c r="R180" s="13" t="str">
        <f aca="false">TEXT(B180,"MMM-YYYY")</f>
        <v>Oct-2022</v>
      </c>
    </row>
    <row r="181" customFormat="false" ht="15" hidden="false" customHeight="true" outlineLevel="0" collapsed="false">
      <c r="A181" s="7" t="s">
        <v>277</v>
      </c>
      <c r="B181" s="8" t="n">
        <v>44842</v>
      </c>
      <c r="C181" s="7" t="s">
        <v>72</v>
      </c>
      <c r="D181" s="7" t="s">
        <v>35</v>
      </c>
      <c r="E181" s="7" t="s">
        <v>77</v>
      </c>
      <c r="F181" s="7" t="s">
        <v>152</v>
      </c>
      <c r="G181" s="9" t="s">
        <v>153</v>
      </c>
      <c r="H181" s="7" t="n">
        <v>8</v>
      </c>
      <c r="I181" s="10" t="n">
        <v>492</v>
      </c>
      <c r="J181" s="10" t="n">
        <v>350</v>
      </c>
      <c r="K181" s="7" t="n">
        <v>36</v>
      </c>
      <c r="L181" s="7" t="s">
        <v>26</v>
      </c>
      <c r="M181" s="10" t="n">
        <v>3936</v>
      </c>
      <c r="N181" s="10" t="n">
        <v>1136</v>
      </c>
      <c r="O181" s="14" t="n">
        <f aca="false">N181/M181</f>
        <v>0.288617886178862</v>
      </c>
      <c r="P181" s="15" t="n">
        <f aca="false">YEAR(B181)</f>
        <v>2022</v>
      </c>
      <c r="Q181" s="15" t="str">
        <f aca="false">"Q"&amp;ROUNDUP(MONTH(B181)/3,0)</f>
        <v>Q4</v>
      </c>
      <c r="R181" s="15" t="str">
        <f aca="false">TEXT(B181,"MMM-YYYY")</f>
        <v>Oct-2022</v>
      </c>
    </row>
    <row r="182" customFormat="false" ht="15" hidden="false" customHeight="true" outlineLevel="0" collapsed="false">
      <c r="A182" s="3" t="s">
        <v>278</v>
      </c>
      <c r="B182" s="4" t="n">
        <v>44842</v>
      </c>
      <c r="C182" s="3" t="s">
        <v>52</v>
      </c>
      <c r="D182" s="3" t="s">
        <v>29</v>
      </c>
      <c r="E182" s="3" t="s">
        <v>23</v>
      </c>
      <c r="F182" s="3" t="s">
        <v>24</v>
      </c>
      <c r="G182" s="5" t="s">
        <v>25</v>
      </c>
      <c r="H182" s="3" t="n">
        <v>12</v>
      </c>
      <c r="I182" s="6" t="n">
        <v>414</v>
      </c>
      <c r="J182" s="6" t="n">
        <v>350</v>
      </c>
      <c r="K182" s="3" t="n">
        <v>47</v>
      </c>
      <c r="L182" s="3" t="s">
        <v>26</v>
      </c>
      <c r="M182" s="6" t="n">
        <v>4968</v>
      </c>
      <c r="N182" s="6" t="n">
        <v>768</v>
      </c>
      <c r="O182" s="12" t="n">
        <f aca="false">N182/M182</f>
        <v>0.154589371980676</v>
      </c>
      <c r="P182" s="13" t="n">
        <f aca="false">YEAR(B182)</f>
        <v>2022</v>
      </c>
      <c r="Q182" s="13" t="str">
        <f aca="false">"Q"&amp;ROUNDUP(MONTH(B182)/3,0)</f>
        <v>Q4</v>
      </c>
      <c r="R182" s="13" t="str">
        <f aca="false">TEXT(B182,"MMM-YYYY")</f>
        <v>Oct-2022</v>
      </c>
    </row>
    <row r="183" customFormat="false" ht="15" hidden="false" customHeight="true" outlineLevel="0" collapsed="false">
      <c r="A183" s="7" t="s">
        <v>279</v>
      </c>
      <c r="B183" s="8" t="n">
        <v>44843</v>
      </c>
      <c r="C183" s="7" t="s">
        <v>47</v>
      </c>
      <c r="D183" s="7" t="s">
        <v>48</v>
      </c>
      <c r="E183" s="7" t="s">
        <v>39</v>
      </c>
      <c r="F183" s="7" t="s">
        <v>40</v>
      </c>
      <c r="G183" s="9" t="s">
        <v>41</v>
      </c>
      <c r="H183" s="7" t="n">
        <v>8</v>
      </c>
      <c r="I183" s="10" t="n">
        <v>106</v>
      </c>
      <c r="J183" s="10" t="n">
        <v>90</v>
      </c>
      <c r="K183" s="7" t="n">
        <v>46</v>
      </c>
      <c r="L183" s="7" t="s">
        <v>20</v>
      </c>
      <c r="M183" s="10" t="n">
        <v>848</v>
      </c>
      <c r="N183" s="10" t="n">
        <v>128</v>
      </c>
      <c r="O183" s="14" t="n">
        <f aca="false">N183/M183</f>
        <v>0.150943396226415</v>
      </c>
      <c r="P183" s="15" t="n">
        <f aca="false">YEAR(B183)</f>
        <v>2022</v>
      </c>
      <c r="Q183" s="15" t="str">
        <f aca="false">"Q"&amp;ROUNDUP(MONTH(B183)/3,0)</f>
        <v>Q4</v>
      </c>
      <c r="R183" s="15" t="str">
        <f aca="false">TEXT(B183,"MMM-YYYY")</f>
        <v>Oct-2022</v>
      </c>
    </row>
    <row r="184" customFormat="false" ht="15" hidden="false" customHeight="true" outlineLevel="0" collapsed="false">
      <c r="A184" s="3" t="s">
        <v>280</v>
      </c>
      <c r="B184" s="4" t="n">
        <v>44845</v>
      </c>
      <c r="C184" s="3" t="s">
        <v>47</v>
      </c>
      <c r="D184" s="3" t="s">
        <v>48</v>
      </c>
      <c r="E184" s="3" t="s">
        <v>77</v>
      </c>
      <c r="F184" s="3" t="s">
        <v>180</v>
      </c>
      <c r="G184" s="5" t="s">
        <v>181</v>
      </c>
      <c r="H184" s="3" t="n">
        <v>5</v>
      </c>
      <c r="I184" s="6" t="n">
        <v>249</v>
      </c>
      <c r="J184" s="6" t="n">
        <v>180</v>
      </c>
      <c r="K184" s="3" t="n">
        <v>11</v>
      </c>
      <c r="L184" s="3" t="s">
        <v>26</v>
      </c>
      <c r="M184" s="6" t="n">
        <v>1245</v>
      </c>
      <c r="N184" s="6" t="n">
        <v>345</v>
      </c>
      <c r="O184" s="12" t="n">
        <f aca="false">N184/M184</f>
        <v>0.27710843373494</v>
      </c>
      <c r="P184" s="13" t="n">
        <f aca="false">YEAR(B184)</f>
        <v>2022</v>
      </c>
      <c r="Q184" s="13" t="str">
        <f aca="false">"Q"&amp;ROUNDUP(MONTH(B184)/3,0)</f>
        <v>Q4</v>
      </c>
      <c r="R184" s="13" t="str">
        <f aca="false">TEXT(B184,"MMM-YYYY")</f>
        <v>Oct-2022</v>
      </c>
    </row>
    <row r="185" customFormat="false" ht="15" hidden="false" customHeight="true" outlineLevel="0" collapsed="false">
      <c r="A185" s="7" t="s">
        <v>281</v>
      </c>
      <c r="B185" s="8" t="n">
        <v>44845</v>
      </c>
      <c r="C185" s="7" t="s">
        <v>47</v>
      </c>
      <c r="D185" s="7" t="s">
        <v>48</v>
      </c>
      <c r="E185" s="7" t="s">
        <v>62</v>
      </c>
      <c r="F185" s="7" t="s">
        <v>103</v>
      </c>
      <c r="G185" s="9" t="s">
        <v>104</v>
      </c>
      <c r="H185" s="7" t="n">
        <v>11</v>
      </c>
      <c r="I185" s="10" t="n">
        <v>119</v>
      </c>
      <c r="J185" s="10" t="n">
        <v>90</v>
      </c>
      <c r="K185" s="7" t="n">
        <v>1</v>
      </c>
      <c r="L185" s="7" t="s">
        <v>20</v>
      </c>
      <c r="M185" s="10" t="n">
        <v>1309</v>
      </c>
      <c r="N185" s="10" t="n">
        <v>319</v>
      </c>
      <c r="O185" s="14" t="n">
        <f aca="false">N185/M185</f>
        <v>0.243697478991597</v>
      </c>
      <c r="P185" s="15" t="n">
        <f aca="false">YEAR(B185)</f>
        <v>2022</v>
      </c>
      <c r="Q185" s="15" t="str">
        <f aca="false">"Q"&amp;ROUNDUP(MONTH(B185)/3,0)</f>
        <v>Q4</v>
      </c>
      <c r="R185" s="15" t="str">
        <f aca="false">TEXT(B185,"MMM-YYYY")</f>
        <v>Oct-2022</v>
      </c>
    </row>
    <row r="186" customFormat="false" ht="15" hidden="false" customHeight="true" outlineLevel="0" collapsed="false">
      <c r="A186" s="3" t="s">
        <v>282</v>
      </c>
      <c r="B186" s="4" t="n">
        <v>44846</v>
      </c>
      <c r="C186" s="3" t="s">
        <v>52</v>
      </c>
      <c r="D186" s="3" t="s">
        <v>29</v>
      </c>
      <c r="E186" s="3" t="s">
        <v>17</v>
      </c>
      <c r="F186" s="3" t="s">
        <v>44</v>
      </c>
      <c r="G186" s="5" t="s">
        <v>45</v>
      </c>
      <c r="H186" s="3" t="n">
        <v>8</v>
      </c>
      <c r="I186" s="6" t="n">
        <v>335</v>
      </c>
      <c r="J186" s="6" t="n">
        <v>250</v>
      </c>
      <c r="K186" s="3" t="n">
        <v>21</v>
      </c>
      <c r="L186" s="3" t="s">
        <v>26</v>
      </c>
      <c r="M186" s="6" t="n">
        <v>2680</v>
      </c>
      <c r="N186" s="6" t="n">
        <v>680</v>
      </c>
      <c r="O186" s="12" t="n">
        <f aca="false">N186/M186</f>
        <v>0.253731343283582</v>
      </c>
      <c r="P186" s="13" t="n">
        <f aca="false">YEAR(B186)</f>
        <v>2022</v>
      </c>
      <c r="Q186" s="13" t="str">
        <f aca="false">"Q"&amp;ROUNDUP(MONTH(B186)/3,0)</f>
        <v>Q4</v>
      </c>
      <c r="R186" s="13" t="str">
        <f aca="false">TEXT(B186,"MMM-YYYY")</f>
        <v>Oct-2022</v>
      </c>
    </row>
    <row r="187" customFormat="false" ht="15" hidden="false" customHeight="true" outlineLevel="0" collapsed="false">
      <c r="A187" s="7" t="s">
        <v>283</v>
      </c>
      <c r="B187" s="8" t="n">
        <v>44847</v>
      </c>
      <c r="C187" s="7" t="s">
        <v>43</v>
      </c>
      <c r="D187" s="7" t="s">
        <v>16</v>
      </c>
      <c r="E187" s="7" t="s">
        <v>77</v>
      </c>
      <c r="F187" s="7" t="s">
        <v>78</v>
      </c>
      <c r="G187" s="9" t="s">
        <v>79</v>
      </c>
      <c r="H187" s="7" t="n">
        <v>2</v>
      </c>
      <c r="I187" s="10" t="n">
        <v>1208</v>
      </c>
      <c r="J187" s="10" t="n">
        <v>900</v>
      </c>
      <c r="K187" s="7" t="n">
        <v>41</v>
      </c>
      <c r="L187" s="7" t="s">
        <v>20</v>
      </c>
      <c r="M187" s="10" t="n">
        <v>2416</v>
      </c>
      <c r="N187" s="10" t="n">
        <v>616</v>
      </c>
      <c r="O187" s="14" t="n">
        <f aca="false">N187/M187</f>
        <v>0.254966887417219</v>
      </c>
      <c r="P187" s="15" t="n">
        <f aca="false">YEAR(B187)</f>
        <v>2022</v>
      </c>
      <c r="Q187" s="15" t="str">
        <f aca="false">"Q"&amp;ROUNDUP(MONTH(B187)/3,0)</f>
        <v>Q4</v>
      </c>
      <c r="R187" s="15" t="str">
        <f aca="false">TEXT(B187,"MMM-YYYY")</f>
        <v>Oct-2022</v>
      </c>
    </row>
    <row r="188" customFormat="false" ht="15" hidden="false" customHeight="true" outlineLevel="0" collapsed="false">
      <c r="A188" s="3" t="s">
        <v>284</v>
      </c>
      <c r="B188" s="4" t="n">
        <v>44855</v>
      </c>
      <c r="C188" s="3" t="s">
        <v>15</v>
      </c>
      <c r="D188" s="3" t="s">
        <v>16</v>
      </c>
      <c r="E188" s="3" t="s">
        <v>39</v>
      </c>
      <c r="F188" s="3" t="s">
        <v>99</v>
      </c>
      <c r="G188" s="5" t="s">
        <v>100</v>
      </c>
      <c r="H188" s="3" t="n">
        <v>8</v>
      </c>
      <c r="I188" s="6" t="n">
        <v>249</v>
      </c>
      <c r="J188" s="6" t="n">
        <v>220</v>
      </c>
      <c r="K188" s="3" t="n">
        <v>4</v>
      </c>
      <c r="L188" s="3" t="s">
        <v>26</v>
      </c>
      <c r="M188" s="6" t="n">
        <v>1992</v>
      </c>
      <c r="N188" s="6" t="n">
        <v>232</v>
      </c>
      <c r="O188" s="12" t="n">
        <f aca="false">N188/M188</f>
        <v>0.116465863453815</v>
      </c>
      <c r="P188" s="13" t="n">
        <f aca="false">YEAR(B188)</f>
        <v>2022</v>
      </c>
      <c r="Q188" s="13" t="str">
        <f aca="false">"Q"&amp;ROUNDUP(MONTH(B188)/3,0)</f>
        <v>Q4</v>
      </c>
      <c r="R188" s="13" t="str">
        <f aca="false">TEXT(B188,"MMM-YYYY")</f>
        <v>Oct-2022</v>
      </c>
    </row>
    <row r="189" customFormat="false" ht="15" hidden="false" customHeight="true" outlineLevel="0" collapsed="false">
      <c r="A189" s="7" t="s">
        <v>285</v>
      </c>
      <c r="B189" s="8" t="n">
        <v>44856</v>
      </c>
      <c r="C189" s="7" t="s">
        <v>22</v>
      </c>
      <c r="D189" s="7" t="s">
        <v>16</v>
      </c>
      <c r="E189" s="7" t="s">
        <v>62</v>
      </c>
      <c r="F189" s="7" t="s">
        <v>103</v>
      </c>
      <c r="G189" s="9" t="s">
        <v>104</v>
      </c>
      <c r="H189" s="7" t="n">
        <v>7</v>
      </c>
      <c r="I189" s="10" t="n">
        <v>120</v>
      </c>
      <c r="J189" s="10" t="n">
        <v>90</v>
      </c>
      <c r="K189" s="7" t="n">
        <v>15</v>
      </c>
      <c r="L189" s="7" t="s">
        <v>20</v>
      </c>
      <c r="M189" s="10" t="n">
        <v>840</v>
      </c>
      <c r="N189" s="10" t="n">
        <v>210</v>
      </c>
      <c r="O189" s="14" t="n">
        <f aca="false">N189/M189</f>
        <v>0.25</v>
      </c>
      <c r="P189" s="15" t="n">
        <f aca="false">YEAR(B189)</f>
        <v>2022</v>
      </c>
      <c r="Q189" s="15" t="str">
        <f aca="false">"Q"&amp;ROUNDUP(MONTH(B189)/3,0)</f>
        <v>Q4</v>
      </c>
      <c r="R189" s="15" t="str">
        <f aca="false">TEXT(B189,"MMM-YYYY")</f>
        <v>Oct-2022</v>
      </c>
    </row>
    <row r="190" customFormat="false" ht="15" hidden="false" customHeight="true" outlineLevel="0" collapsed="false">
      <c r="A190" s="3" t="s">
        <v>286</v>
      </c>
      <c r="B190" s="4" t="n">
        <v>44856</v>
      </c>
      <c r="C190" s="3" t="s">
        <v>28</v>
      </c>
      <c r="D190" s="3" t="s">
        <v>29</v>
      </c>
      <c r="E190" s="3" t="s">
        <v>30</v>
      </c>
      <c r="F190" s="3" t="s">
        <v>118</v>
      </c>
      <c r="G190" s="5" t="s">
        <v>119</v>
      </c>
      <c r="H190" s="3" t="n">
        <v>15</v>
      </c>
      <c r="I190" s="6" t="n">
        <v>412</v>
      </c>
      <c r="J190" s="6" t="n">
        <v>280</v>
      </c>
      <c r="K190" s="3" t="n">
        <v>36</v>
      </c>
      <c r="L190" s="3" t="s">
        <v>26</v>
      </c>
      <c r="M190" s="6" t="n">
        <v>6180</v>
      </c>
      <c r="N190" s="6" t="n">
        <v>1980</v>
      </c>
      <c r="O190" s="12" t="n">
        <f aca="false">N190/M190</f>
        <v>0.320388349514563</v>
      </c>
      <c r="P190" s="13" t="n">
        <f aca="false">YEAR(B190)</f>
        <v>2022</v>
      </c>
      <c r="Q190" s="13" t="str">
        <f aca="false">"Q"&amp;ROUNDUP(MONTH(B190)/3,0)</f>
        <v>Q4</v>
      </c>
      <c r="R190" s="13" t="str">
        <f aca="false">TEXT(B190,"MMM-YYYY")</f>
        <v>Oct-2022</v>
      </c>
    </row>
    <row r="191" customFormat="false" ht="15" hidden="false" customHeight="true" outlineLevel="0" collapsed="false">
      <c r="A191" s="7" t="s">
        <v>287</v>
      </c>
      <c r="B191" s="8" t="n">
        <v>44858</v>
      </c>
      <c r="C191" s="7" t="s">
        <v>111</v>
      </c>
      <c r="D191" s="7" t="s">
        <v>29</v>
      </c>
      <c r="E191" s="7" t="s">
        <v>30</v>
      </c>
      <c r="F191" s="7" t="s">
        <v>36</v>
      </c>
      <c r="G191" s="9" t="s">
        <v>37</v>
      </c>
      <c r="H191" s="7" t="n">
        <v>7</v>
      </c>
      <c r="I191" s="10" t="n">
        <v>685</v>
      </c>
      <c r="J191" s="10" t="n">
        <v>450</v>
      </c>
      <c r="K191" s="7" t="n">
        <v>17</v>
      </c>
      <c r="L191" s="7" t="s">
        <v>26</v>
      </c>
      <c r="M191" s="10" t="n">
        <v>4795</v>
      </c>
      <c r="N191" s="10" t="n">
        <v>1645</v>
      </c>
      <c r="O191" s="14" t="n">
        <f aca="false">N191/M191</f>
        <v>0.343065693430657</v>
      </c>
      <c r="P191" s="15" t="n">
        <f aca="false">YEAR(B191)</f>
        <v>2022</v>
      </c>
      <c r="Q191" s="15" t="str">
        <f aca="false">"Q"&amp;ROUNDUP(MONTH(B191)/3,0)</f>
        <v>Q4</v>
      </c>
      <c r="R191" s="15" t="str">
        <f aca="false">TEXT(B191,"MMM-YYYY")</f>
        <v>Oct-2022</v>
      </c>
    </row>
    <row r="192" customFormat="false" ht="15" hidden="false" customHeight="true" outlineLevel="0" collapsed="false">
      <c r="A192" s="3" t="s">
        <v>288</v>
      </c>
      <c r="B192" s="4" t="n">
        <v>44860</v>
      </c>
      <c r="C192" s="3" t="s">
        <v>43</v>
      </c>
      <c r="D192" s="3" t="s">
        <v>16</v>
      </c>
      <c r="E192" s="3" t="s">
        <v>62</v>
      </c>
      <c r="F192" s="3" t="s">
        <v>96</v>
      </c>
      <c r="G192" s="5" t="s">
        <v>97</v>
      </c>
      <c r="H192" s="3" t="n">
        <v>7</v>
      </c>
      <c r="I192" s="6" t="n">
        <v>104</v>
      </c>
      <c r="J192" s="6" t="n">
        <v>80</v>
      </c>
      <c r="K192" s="3" t="n">
        <v>50</v>
      </c>
      <c r="L192" s="3" t="s">
        <v>26</v>
      </c>
      <c r="M192" s="6" t="n">
        <v>728</v>
      </c>
      <c r="N192" s="6" t="n">
        <v>168</v>
      </c>
      <c r="O192" s="12" t="n">
        <f aca="false">N192/M192</f>
        <v>0.230769230769231</v>
      </c>
      <c r="P192" s="13" t="n">
        <f aca="false">YEAR(B192)</f>
        <v>2022</v>
      </c>
      <c r="Q192" s="13" t="str">
        <f aca="false">"Q"&amp;ROUNDUP(MONTH(B192)/3,0)</f>
        <v>Q4</v>
      </c>
      <c r="R192" s="13" t="str">
        <f aca="false">TEXT(B192,"MMM-YYYY")</f>
        <v>Oct-2022</v>
      </c>
    </row>
    <row r="193" customFormat="false" ht="15" hidden="false" customHeight="true" outlineLevel="0" collapsed="false">
      <c r="A193" s="7" t="s">
        <v>289</v>
      </c>
      <c r="B193" s="8" t="n">
        <v>44860</v>
      </c>
      <c r="C193" s="7" t="s">
        <v>22</v>
      </c>
      <c r="D193" s="7" t="s">
        <v>16</v>
      </c>
      <c r="E193" s="7" t="s">
        <v>30</v>
      </c>
      <c r="F193" s="7" t="s">
        <v>36</v>
      </c>
      <c r="G193" s="9" t="s">
        <v>37</v>
      </c>
      <c r="H193" s="7" t="n">
        <v>2</v>
      </c>
      <c r="I193" s="10" t="n">
        <v>650</v>
      </c>
      <c r="J193" s="10" t="n">
        <v>450</v>
      </c>
      <c r="K193" s="7" t="n">
        <v>37</v>
      </c>
      <c r="L193" s="7" t="s">
        <v>20</v>
      </c>
      <c r="M193" s="10" t="n">
        <v>1300</v>
      </c>
      <c r="N193" s="10" t="n">
        <v>400</v>
      </c>
      <c r="O193" s="14" t="n">
        <f aca="false">N193/M193</f>
        <v>0.307692307692308</v>
      </c>
      <c r="P193" s="15" t="n">
        <f aca="false">YEAR(B193)</f>
        <v>2022</v>
      </c>
      <c r="Q193" s="15" t="str">
        <f aca="false">"Q"&amp;ROUNDUP(MONTH(B193)/3,0)</f>
        <v>Q4</v>
      </c>
      <c r="R193" s="15" t="str">
        <f aca="false">TEXT(B193,"MMM-YYYY")</f>
        <v>Oct-2022</v>
      </c>
    </row>
    <row r="194" customFormat="false" ht="15" hidden="false" customHeight="true" outlineLevel="0" collapsed="false">
      <c r="A194" s="3" t="s">
        <v>290</v>
      </c>
      <c r="B194" s="4" t="n">
        <v>44860</v>
      </c>
      <c r="C194" s="3" t="s">
        <v>22</v>
      </c>
      <c r="D194" s="3" t="s">
        <v>16</v>
      </c>
      <c r="E194" s="3" t="s">
        <v>39</v>
      </c>
      <c r="F194" s="3" t="s">
        <v>99</v>
      </c>
      <c r="G194" s="5" t="s">
        <v>100</v>
      </c>
      <c r="H194" s="3" t="n">
        <v>2</v>
      </c>
      <c r="I194" s="6" t="n">
        <v>259</v>
      </c>
      <c r="J194" s="6" t="n">
        <v>220</v>
      </c>
      <c r="K194" s="3" t="n">
        <v>1</v>
      </c>
      <c r="L194" s="3" t="s">
        <v>26</v>
      </c>
      <c r="M194" s="6" t="n">
        <v>518</v>
      </c>
      <c r="N194" s="6" t="n">
        <v>78</v>
      </c>
      <c r="O194" s="12" t="n">
        <f aca="false">N194/M194</f>
        <v>0.150579150579151</v>
      </c>
      <c r="P194" s="13" t="n">
        <f aca="false">YEAR(B194)</f>
        <v>2022</v>
      </c>
      <c r="Q194" s="13" t="str">
        <f aca="false">"Q"&amp;ROUNDUP(MONTH(B194)/3,0)</f>
        <v>Q4</v>
      </c>
      <c r="R194" s="13" t="str">
        <f aca="false">TEXT(B194,"MMM-YYYY")</f>
        <v>Oct-2022</v>
      </c>
    </row>
    <row r="195" customFormat="false" ht="15" hidden="false" customHeight="true" outlineLevel="0" collapsed="false">
      <c r="A195" s="7" t="s">
        <v>291</v>
      </c>
      <c r="B195" s="8" t="n">
        <v>44861</v>
      </c>
      <c r="C195" s="7" t="s">
        <v>94</v>
      </c>
      <c r="D195" s="7" t="s">
        <v>48</v>
      </c>
      <c r="E195" s="7" t="s">
        <v>39</v>
      </c>
      <c r="F195" s="7" t="s">
        <v>99</v>
      </c>
      <c r="G195" s="9" t="s">
        <v>100</v>
      </c>
      <c r="H195" s="7" t="n">
        <v>9</v>
      </c>
      <c r="I195" s="10" t="n">
        <v>254</v>
      </c>
      <c r="J195" s="10" t="n">
        <v>220</v>
      </c>
      <c r="K195" s="7" t="n">
        <v>26</v>
      </c>
      <c r="L195" s="7" t="s">
        <v>26</v>
      </c>
      <c r="M195" s="10" t="n">
        <v>2286</v>
      </c>
      <c r="N195" s="10" t="n">
        <v>306</v>
      </c>
      <c r="O195" s="14" t="n">
        <f aca="false">N195/M195</f>
        <v>0.133858267716535</v>
      </c>
      <c r="P195" s="15" t="n">
        <f aca="false">YEAR(B195)</f>
        <v>2022</v>
      </c>
      <c r="Q195" s="15" t="str">
        <f aca="false">"Q"&amp;ROUNDUP(MONTH(B195)/3,0)</f>
        <v>Q4</v>
      </c>
      <c r="R195" s="15" t="str">
        <f aca="false">TEXT(B195,"MMM-YYYY")</f>
        <v>Oct-2022</v>
      </c>
    </row>
    <row r="196" customFormat="false" ht="15" hidden="false" customHeight="true" outlineLevel="0" collapsed="false">
      <c r="A196" s="3" t="s">
        <v>292</v>
      </c>
      <c r="B196" s="4" t="n">
        <v>44864</v>
      </c>
      <c r="C196" s="3" t="s">
        <v>111</v>
      </c>
      <c r="D196" s="3" t="s">
        <v>29</v>
      </c>
      <c r="E196" s="3" t="s">
        <v>62</v>
      </c>
      <c r="F196" s="3" t="s">
        <v>69</v>
      </c>
      <c r="G196" s="5" t="s">
        <v>70</v>
      </c>
      <c r="H196" s="3" t="n">
        <v>6</v>
      </c>
      <c r="I196" s="6" t="n">
        <v>68</v>
      </c>
      <c r="J196" s="6" t="n">
        <v>50</v>
      </c>
      <c r="K196" s="3" t="n">
        <v>11</v>
      </c>
      <c r="L196" s="3" t="s">
        <v>26</v>
      </c>
      <c r="M196" s="6" t="n">
        <v>408</v>
      </c>
      <c r="N196" s="6" t="n">
        <v>108</v>
      </c>
      <c r="O196" s="12" t="n">
        <f aca="false">N196/M196</f>
        <v>0.264705882352941</v>
      </c>
      <c r="P196" s="13" t="n">
        <f aca="false">YEAR(B196)</f>
        <v>2022</v>
      </c>
      <c r="Q196" s="13" t="str">
        <f aca="false">"Q"&amp;ROUNDUP(MONTH(B196)/3,0)</f>
        <v>Q4</v>
      </c>
      <c r="R196" s="13" t="str">
        <f aca="false">TEXT(B196,"MMM-YYYY")</f>
        <v>Oct-2022</v>
      </c>
    </row>
    <row r="197" customFormat="false" ht="15" hidden="false" customHeight="true" outlineLevel="0" collapsed="false">
      <c r="A197" s="7" t="s">
        <v>293</v>
      </c>
      <c r="B197" s="8" t="n">
        <v>44864</v>
      </c>
      <c r="C197" s="7" t="s">
        <v>52</v>
      </c>
      <c r="D197" s="7" t="s">
        <v>29</v>
      </c>
      <c r="E197" s="7" t="s">
        <v>39</v>
      </c>
      <c r="F197" s="7" t="s">
        <v>40</v>
      </c>
      <c r="G197" s="9" t="s">
        <v>41</v>
      </c>
      <c r="H197" s="7" t="n">
        <v>9</v>
      </c>
      <c r="I197" s="10" t="n">
        <v>105</v>
      </c>
      <c r="J197" s="10" t="n">
        <v>90</v>
      </c>
      <c r="K197" s="7" t="n">
        <v>3</v>
      </c>
      <c r="L197" s="7" t="s">
        <v>26</v>
      </c>
      <c r="M197" s="10" t="n">
        <v>945</v>
      </c>
      <c r="N197" s="10" t="n">
        <v>135</v>
      </c>
      <c r="O197" s="14" t="n">
        <f aca="false">N197/M197</f>
        <v>0.142857142857143</v>
      </c>
      <c r="P197" s="15" t="n">
        <f aca="false">YEAR(B197)</f>
        <v>2022</v>
      </c>
      <c r="Q197" s="15" t="str">
        <f aca="false">"Q"&amp;ROUNDUP(MONTH(B197)/3,0)</f>
        <v>Q4</v>
      </c>
      <c r="R197" s="15" t="str">
        <f aca="false">TEXT(B197,"MMM-YYYY")</f>
        <v>Oct-2022</v>
      </c>
    </row>
    <row r="198" customFormat="false" ht="15" hidden="false" customHeight="true" outlineLevel="0" collapsed="false">
      <c r="A198" s="3" t="s">
        <v>294</v>
      </c>
      <c r="B198" s="4" t="n">
        <v>44864</v>
      </c>
      <c r="C198" s="3" t="s">
        <v>94</v>
      </c>
      <c r="D198" s="3" t="s">
        <v>48</v>
      </c>
      <c r="E198" s="3" t="s">
        <v>17</v>
      </c>
      <c r="F198" s="3" t="s">
        <v>66</v>
      </c>
      <c r="G198" s="5" t="s">
        <v>67</v>
      </c>
      <c r="H198" s="3" t="n">
        <v>12</v>
      </c>
      <c r="I198" s="6" t="n">
        <v>499</v>
      </c>
      <c r="J198" s="6" t="n">
        <v>350</v>
      </c>
      <c r="K198" s="3" t="n">
        <v>47</v>
      </c>
      <c r="L198" s="3" t="s">
        <v>26</v>
      </c>
      <c r="M198" s="6" t="n">
        <v>5988</v>
      </c>
      <c r="N198" s="6" t="n">
        <v>1788</v>
      </c>
      <c r="O198" s="12" t="n">
        <f aca="false">N198/M198</f>
        <v>0.298597194388778</v>
      </c>
      <c r="P198" s="13" t="n">
        <f aca="false">YEAR(B198)</f>
        <v>2022</v>
      </c>
      <c r="Q198" s="13" t="str">
        <f aca="false">"Q"&amp;ROUNDUP(MONTH(B198)/3,0)</f>
        <v>Q4</v>
      </c>
      <c r="R198" s="13" t="str">
        <f aca="false">TEXT(B198,"MMM-YYYY")</f>
        <v>Oct-2022</v>
      </c>
    </row>
    <row r="199" customFormat="false" ht="15" hidden="false" customHeight="true" outlineLevel="0" collapsed="false">
      <c r="A199" s="7" t="s">
        <v>295</v>
      </c>
      <c r="B199" s="8" t="n">
        <v>44865</v>
      </c>
      <c r="C199" s="7" t="s">
        <v>28</v>
      </c>
      <c r="D199" s="7" t="s">
        <v>29</v>
      </c>
      <c r="E199" s="7" t="s">
        <v>23</v>
      </c>
      <c r="F199" s="7" t="s">
        <v>49</v>
      </c>
      <c r="G199" s="9" t="s">
        <v>50</v>
      </c>
      <c r="H199" s="7" t="n">
        <v>11</v>
      </c>
      <c r="I199" s="10" t="n">
        <v>22849</v>
      </c>
      <c r="J199" s="10" t="n">
        <v>18000</v>
      </c>
      <c r="K199" s="7" t="n">
        <v>35</v>
      </c>
      <c r="L199" s="7" t="s">
        <v>26</v>
      </c>
      <c r="M199" s="10" t="n">
        <v>251339</v>
      </c>
      <c r="N199" s="10" t="n">
        <v>53339</v>
      </c>
      <c r="O199" s="14" t="n">
        <f aca="false">N199/M199</f>
        <v>0.212219353144558</v>
      </c>
      <c r="P199" s="15" t="n">
        <f aca="false">YEAR(B199)</f>
        <v>2022</v>
      </c>
      <c r="Q199" s="15" t="str">
        <f aca="false">"Q"&amp;ROUNDUP(MONTH(B199)/3,0)</f>
        <v>Q4</v>
      </c>
      <c r="R199" s="15" t="str">
        <f aca="false">TEXT(B199,"MMM-YYYY")</f>
        <v>Oct-2022</v>
      </c>
    </row>
    <row r="200" customFormat="false" ht="15" hidden="false" customHeight="true" outlineLevel="0" collapsed="false">
      <c r="A200" s="3" t="s">
        <v>296</v>
      </c>
      <c r="B200" s="4" t="n">
        <v>44866</v>
      </c>
      <c r="C200" s="3" t="s">
        <v>22</v>
      </c>
      <c r="D200" s="3" t="s">
        <v>16</v>
      </c>
      <c r="E200" s="3" t="s">
        <v>39</v>
      </c>
      <c r="F200" s="3" t="s">
        <v>161</v>
      </c>
      <c r="G200" s="5" t="s">
        <v>162</v>
      </c>
      <c r="H200" s="3" t="n">
        <v>10</v>
      </c>
      <c r="I200" s="6" t="n">
        <v>427</v>
      </c>
      <c r="J200" s="6" t="n">
        <v>350</v>
      </c>
      <c r="K200" s="3" t="n">
        <v>49</v>
      </c>
      <c r="L200" s="3" t="s">
        <v>20</v>
      </c>
      <c r="M200" s="6" t="n">
        <v>4270</v>
      </c>
      <c r="N200" s="6" t="n">
        <v>770</v>
      </c>
      <c r="O200" s="12" t="n">
        <f aca="false">N200/M200</f>
        <v>0.180327868852459</v>
      </c>
      <c r="P200" s="13" t="n">
        <f aca="false">YEAR(B200)</f>
        <v>2022</v>
      </c>
      <c r="Q200" s="13" t="str">
        <f aca="false">"Q"&amp;ROUNDUP(MONTH(B200)/3,0)</f>
        <v>Q4</v>
      </c>
      <c r="R200" s="13" t="str">
        <f aca="false">TEXT(B200,"MMM-YYYY")</f>
        <v>Nov-2022</v>
      </c>
    </row>
    <row r="201" customFormat="false" ht="15" hidden="false" customHeight="true" outlineLevel="0" collapsed="false">
      <c r="A201" s="7" t="s">
        <v>297</v>
      </c>
      <c r="B201" s="8" t="n">
        <v>44866</v>
      </c>
      <c r="C201" s="7" t="s">
        <v>34</v>
      </c>
      <c r="D201" s="7" t="s">
        <v>35</v>
      </c>
      <c r="E201" s="7" t="s">
        <v>30</v>
      </c>
      <c r="F201" s="7" t="s">
        <v>118</v>
      </c>
      <c r="G201" s="9" t="s">
        <v>119</v>
      </c>
      <c r="H201" s="7" t="n">
        <v>12</v>
      </c>
      <c r="I201" s="10" t="n">
        <v>414</v>
      </c>
      <c r="J201" s="10" t="n">
        <v>280</v>
      </c>
      <c r="K201" s="7" t="n">
        <v>22</v>
      </c>
      <c r="L201" s="7" t="s">
        <v>26</v>
      </c>
      <c r="M201" s="10" t="n">
        <v>4968</v>
      </c>
      <c r="N201" s="10" t="n">
        <v>1608</v>
      </c>
      <c r="O201" s="14" t="n">
        <f aca="false">N201/M201</f>
        <v>0.323671497584541</v>
      </c>
      <c r="P201" s="15" t="n">
        <f aca="false">YEAR(B201)</f>
        <v>2022</v>
      </c>
      <c r="Q201" s="15" t="str">
        <f aca="false">"Q"&amp;ROUNDUP(MONTH(B201)/3,0)</f>
        <v>Q4</v>
      </c>
      <c r="R201" s="15" t="str">
        <f aca="false">TEXT(B201,"MMM-YYYY")</f>
        <v>Nov-2022</v>
      </c>
    </row>
    <row r="202" customFormat="false" ht="15" hidden="false" customHeight="true" outlineLevel="0" collapsed="false">
      <c r="A202" s="3" t="s">
        <v>298</v>
      </c>
      <c r="B202" s="4" t="n">
        <v>44867</v>
      </c>
      <c r="C202" s="3" t="s">
        <v>94</v>
      </c>
      <c r="D202" s="3" t="s">
        <v>48</v>
      </c>
      <c r="E202" s="3" t="s">
        <v>23</v>
      </c>
      <c r="F202" s="3" t="s">
        <v>24</v>
      </c>
      <c r="G202" s="5" t="s">
        <v>25</v>
      </c>
      <c r="H202" s="3" t="n">
        <v>9</v>
      </c>
      <c r="I202" s="6" t="n">
        <v>444</v>
      </c>
      <c r="J202" s="6" t="n">
        <v>350</v>
      </c>
      <c r="K202" s="3" t="n">
        <v>49</v>
      </c>
      <c r="L202" s="3" t="s">
        <v>26</v>
      </c>
      <c r="M202" s="6" t="n">
        <v>3996</v>
      </c>
      <c r="N202" s="6" t="n">
        <v>846</v>
      </c>
      <c r="O202" s="12" t="n">
        <f aca="false">N202/M202</f>
        <v>0.211711711711712</v>
      </c>
      <c r="P202" s="13" t="n">
        <f aca="false">YEAR(B202)</f>
        <v>2022</v>
      </c>
      <c r="Q202" s="13" t="str">
        <f aca="false">"Q"&amp;ROUNDUP(MONTH(B202)/3,0)</f>
        <v>Q4</v>
      </c>
      <c r="R202" s="13" t="str">
        <f aca="false">TEXT(B202,"MMM-YYYY")</f>
        <v>Nov-2022</v>
      </c>
    </row>
    <row r="203" customFormat="false" ht="15" hidden="false" customHeight="true" outlineLevel="0" collapsed="false">
      <c r="A203" s="7" t="s">
        <v>299</v>
      </c>
      <c r="B203" s="8" t="n">
        <v>44868</v>
      </c>
      <c r="C203" s="7" t="s">
        <v>34</v>
      </c>
      <c r="D203" s="7" t="s">
        <v>35</v>
      </c>
      <c r="E203" s="7" t="s">
        <v>77</v>
      </c>
      <c r="F203" s="7" t="s">
        <v>81</v>
      </c>
      <c r="G203" s="9" t="s">
        <v>82</v>
      </c>
      <c r="H203" s="7" t="n">
        <v>2</v>
      </c>
      <c r="I203" s="10" t="n">
        <v>823</v>
      </c>
      <c r="J203" s="10" t="n">
        <v>600</v>
      </c>
      <c r="K203" s="7" t="n">
        <v>1</v>
      </c>
      <c r="L203" s="7" t="s">
        <v>26</v>
      </c>
      <c r="M203" s="10" t="n">
        <v>1646</v>
      </c>
      <c r="N203" s="10" t="n">
        <v>446</v>
      </c>
      <c r="O203" s="14" t="n">
        <f aca="false">N203/M203</f>
        <v>0.270959902794654</v>
      </c>
      <c r="P203" s="15" t="n">
        <f aca="false">YEAR(B203)</f>
        <v>2022</v>
      </c>
      <c r="Q203" s="15" t="str">
        <f aca="false">"Q"&amp;ROUNDUP(MONTH(B203)/3,0)</f>
        <v>Q4</v>
      </c>
      <c r="R203" s="15" t="str">
        <f aca="false">TEXT(B203,"MMM-YYYY")</f>
        <v>Nov-2022</v>
      </c>
    </row>
    <row r="204" customFormat="false" ht="15" hidden="false" customHeight="true" outlineLevel="0" collapsed="false">
      <c r="A204" s="3" t="s">
        <v>300</v>
      </c>
      <c r="B204" s="4" t="n">
        <v>44868</v>
      </c>
      <c r="C204" s="3" t="s">
        <v>72</v>
      </c>
      <c r="D204" s="3" t="s">
        <v>35</v>
      </c>
      <c r="E204" s="3" t="s">
        <v>62</v>
      </c>
      <c r="F204" s="3" t="s">
        <v>63</v>
      </c>
      <c r="G204" s="5" t="s">
        <v>64</v>
      </c>
      <c r="H204" s="3" t="n">
        <v>9</v>
      </c>
      <c r="I204" s="6" t="n">
        <v>81</v>
      </c>
      <c r="J204" s="6" t="n">
        <v>60</v>
      </c>
      <c r="K204" s="3" t="n">
        <v>37</v>
      </c>
      <c r="L204" s="3" t="s">
        <v>26</v>
      </c>
      <c r="M204" s="6" t="n">
        <v>729</v>
      </c>
      <c r="N204" s="6" t="n">
        <v>189</v>
      </c>
      <c r="O204" s="12" t="n">
        <f aca="false">N204/M204</f>
        <v>0.259259259259259</v>
      </c>
      <c r="P204" s="13" t="n">
        <f aca="false">YEAR(B204)</f>
        <v>2022</v>
      </c>
      <c r="Q204" s="13" t="str">
        <f aca="false">"Q"&amp;ROUNDUP(MONTH(B204)/3,0)</f>
        <v>Q4</v>
      </c>
      <c r="R204" s="13" t="str">
        <f aca="false">TEXT(B204,"MMM-YYYY")</f>
        <v>Nov-2022</v>
      </c>
    </row>
    <row r="205" customFormat="false" ht="15" hidden="false" customHeight="true" outlineLevel="0" collapsed="false">
      <c r="A205" s="7" t="s">
        <v>301</v>
      </c>
      <c r="B205" s="8" t="n">
        <v>44871</v>
      </c>
      <c r="C205" s="7" t="s">
        <v>94</v>
      </c>
      <c r="D205" s="7" t="s">
        <v>48</v>
      </c>
      <c r="E205" s="7" t="s">
        <v>77</v>
      </c>
      <c r="F205" s="7" t="s">
        <v>81</v>
      </c>
      <c r="G205" s="9" t="s">
        <v>82</v>
      </c>
      <c r="H205" s="7" t="n">
        <v>11</v>
      </c>
      <c r="I205" s="10" t="n">
        <v>828</v>
      </c>
      <c r="J205" s="10" t="n">
        <v>600</v>
      </c>
      <c r="K205" s="7" t="n">
        <v>24</v>
      </c>
      <c r="L205" s="7" t="s">
        <v>26</v>
      </c>
      <c r="M205" s="10" t="n">
        <v>9108</v>
      </c>
      <c r="N205" s="10" t="n">
        <v>2508</v>
      </c>
      <c r="O205" s="14" t="n">
        <f aca="false">N205/M205</f>
        <v>0.27536231884058</v>
      </c>
      <c r="P205" s="15" t="n">
        <f aca="false">YEAR(B205)</f>
        <v>2022</v>
      </c>
      <c r="Q205" s="15" t="str">
        <f aca="false">"Q"&amp;ROUNDUP(MONTH(B205)/3,0)</f>
        <v>Q4</v>
      </c>
      <c r="R205" s="15" t="str">
        <f aca="false">TEXT(B205,"MMM-YYYY")</f>
        <v>Nov-2022</v>
      </c>
    </row>
    <row r="206" customFormat="false" ht="15" hidden="false" customHeight="true" outlineLevel="0" collapsed="false">
      <c r="A206" s="3" t="s">
        <v>302</v>
      </c>
      <c r="B206" s="4" t="n">
        <v>44872</v>
      </c>
      <c r="C206" s="3" t="s">
        <v>136</v>
      </c>
      <c r="D206" s="3" t="s">
        <v>35</v>
      </c>
      <c r="E206" s="3" t="s">
        <v>77</v>
      </c>
      <c r="F206" s="3" t="s">
        <v>152</v>
      </c>
      <c r="G206" s="5" t="s">
        <v>153</v>
      </c>
      <c r="H206" s="3" t="n">
        <v>8</v>
      </c>
      <c r="I206" s="6" t="n">
        <v>461</v>
      </c>
      <c r="J206" s="6" t="n">
        <v>350</v>
      </c>
      <c r="K206" s="3" t="n">
        <v>0</v>
      </c>
      <c r="L206" s="3" t="s">
        <v>26</v>
      </c>
      <c r="M206" s="6" t="n">
        <v>3688</v>
      </c>
      <c r="N206" s="6" t="n">
        <v>888</v>
      </c>
      <c r="O206" s="12" t="n">
        <f aca="false">N206/M206</f>
        <v>0.240780911062907</v>
      </c>
      <c r="P206" s="13" t="n">
        <f aca="false">YEAR(B206)</f>
        <v>2022</v>
      </c>
      <c r="Q206" s="13" t="str">
        <f aca="false">"Q"&amp;ROUNDUP(MONTH(B206)/3,0)</f>
        <v>Q4</v>
      </c>
      <c r="R206" s="13" t="str">
        <f aca="false">TEXT(B206,"MMM-YYYY")</f>
        <v>Nov-2022</v>
      </c>
    </row>
    <row r="207" customFormat="false" ht="15" hidden="false" customHeight="true" outlineLevel="0" collapsed="false">
      <c r="A207" s="7" t="s">
        <v>303</v>
      </c>
      <c r="B207" s="8" t="n">
        <v>44873</v>
      </c>
      <c r="C207" s="7" t="s">
        <v>52</v>
      </c>
      <c r="D207" s="7" t="s">
        <v>29</v>
      </c>
      <c r="E207" s="7" t="s">
        <v>39</v>
      </c>
      <c r="F207" s="7" t="s">
        <v>220</v>
      </c>
      <c r="G207" s="9" t="s">
        <v>221</v>
      </c>
      <c r="H207" s="7" t="n">
        <v>2</v>
      </c>
      <c r="I207" s="10" t="n">
        <v>207</v>
      </c>
      <c r="J207" s="10" t="n">
        <v>180</v>
      </c>
      <c r="K207" s="7" t="n">
        <v>16</v>
      </c>
      <c r="L207" s="7" t="s">
        <v>20</v>
      </c>
      <c r="M207" s="10" t="n">
        <v>414</v>
      </c>
      <c r="N207" s="10" t="n">
        <v>54</v>
      </c>
      <c r="O207" s="14" t="n">
        <f aca="false">N207/M207</f>
        <v>0.130434782608696</v>
      </c>
      <c r="P207" s="15" t="n">
        <f aca="false">YEAR(B207)</f>
        <v>2022</v>
      </c>
      <c r="Q207" s="15" t="str">
        <f aca="false">"Q"&amp;ROUNDUP(MONTH(B207)/3,0)</f>
        <v>Q4</v>
      </c>
      <c r="R207" s="15" t="str">
        <f aca="false">TEXT(B207,"MMM-YYYY")</f>
        <v>Nov-2022</v>
      </c>
    </row>
    <row r="208" customFormat="false" ht="15" hidden="false" customHeight="true" outlineLevel="0" collapsed="false">
      <c r="A208" s="3" t="s">
        <v>304</v>
      </c>
      <c r="B208" s="4" t="n">
        <v>44874</v>
      </c>
      <c r="C208" s="3" t="s">
        <v>47</v>
      </c>
      <c r="D208" s="3" t="s">
        <v>48</v>
      </c>
      <c r="E208" s="3" t="s">
        <v>39</v>
      </c>
      <c r="F208" s="3" t="s">
        <v>161</v>
      </c>
      <c r="G208" s="5" t="s">
        <v>162</v>
      </c>
      <c r="H208" s="3" t="n">
        <v>11</v>
      </c>
      <c r="I208" s="6" t="n">
        <v>396</v>
      </c>
      <c r="J208" s="6" t="n">
        <v>350</v>
      </c>
      <c r="K208" s="3" t="n">
        <v>9</v>
      </c>
      <c r="L208" s="3" t="s">
        <v>20</v>
      </c>
      <c r="M208" s="6" t="n">
        <v>4356</v>
      </c>
      <c r="N208" s="6" t="n">
        <v>506</v>
      </c>
      <c r="O208" s="12" t="n">
        <f aca="false">N208/M208</f>
        <v>0.116161616161616</v>
      </c>
      <c r="P208" s="13" t="n">
        <f aca="false">YEAR(B208)</f>
        <v>2022</v>
      </c>
      <c r="Q208" s="13" t="str">
        <f aca="false">"Q"&amp;ROUNDUP(MONTH(B208)/3,0)</f>
        <v>Q4</v>
      </c>
      <c r="R208" s="13" t="str">
        <f aca="false">TEXT(B208,"MMM-YYYY")</f>
        <v>Nov-2022</v>
      </c>
    </row>
    <row r="209" customFormat="false" ht="15" hidden="false" customHeight="true" outlineLevel="0" collapsed="false">
      <c r="A209" s="7" t="s">
        <v>305</v>
      </c>
      <c r="B209" s="8" t="n">
        <v>44874</v>
      </c>
      <c r="C209" s="7" t="s">
        <v>52</v>
      </c>
      <c r="D209" s="7" t="s">
        <v>29</v>
      </c>
      <c r="E209" s="7" t="s">
        <v>30</v>
      </c>
      <c r="F209" s="7" t="s">
        <v>126</v>
      </c>
      <c r="G209" s="9" t="s">
        <v>127</v>
      </c>
      <c r="H209" s="7" t="n">
        <v>1</v>
      </c>
      <c r="I209" s="10" t="n">
        <v>586</v>
      </c>
      <c r="J209" s="10" t="n">
        <v>400</v>
      </c>
      <c r="K209" s="7" t="n">
        <v>22</v>
      </c>
      <c r="L209" s="7" t="s">
        <v>20</v>
      </c>
      <c r="M209" s="10" t="n">
        <v>586</v>
      </c>
      <c r="N209" s="10" t="n">
        <v>186</v>
      </c>
      <c r="O209" s="14" t="n">
        <f aca="false">N209/M209</f>
        <v>0.31740614334471</v>
      </c>
      <c r="P209" s="15" t="n">
        <f aca="false">YEAR(B209)</f>
        <v>2022</v>
      </c>
      <c r="Q209" s="15" t="str">
        <f aca="false">"Q"&amp;ROUNDUP(MONTH(B209)/3,0)</f>
        <v>Q4</v>
      </c>
      <c r="R209" s="15" t="str">
        <f aca="false">TEXT(B209,"MMM-YYYY")</f>
        <v>Nov-2022</v>
      </c>
    </row>
    <row r="210" customFormat="false" ht="15" hidden="false" customHeight="true" outlineLevel="0" collapsed="false">
      <c r="A210" s="3" t="s">
        <v>306</v>
      </c>
      <c r="B210" s="4" t="n">
        <v>44876</v>
      </c>
      <c r="C210" s="3" t="s">
        <v>28</v>
      </c>
      <c r="D210" s="3" t="s">
        <v>29</v>
      </c>
      <c r="E210" s="3" t="s">
        <v>23</v>
      </c>
      <c r="F210" s="3" t="s">
        <v>90</v>
      </c>
      <c r="G210" s="5" t="s">
        <v>91</v>
      </c>
      <c r="H210" s="3" t="n">
        <v>1</v>
      </c>
      <c r="I210" s="6" t="n">
        <v>719</v>
      </c>
      <c r="J210" s="6" t="n">
        <v>600</v>
      </c>
      <c r="K210" s="3" t="n">
        <v>29</v>
      </c>
      <c r="L210" s="3" t="s">
        <v>26</v>
      </c>
      <c r="M210" s="6" t="n">
        <v>719</v>
      </c>
      <c r="N210" s="6" t="n">
        <v>119</v>
      </c>
      <c r="O210" s="12" t="n">
        <f aca="false">N210/M210</f>
        <v>0.165507649513213</v>
      </c>
      <c r="P210" s="13" t="n">
        <f aca="false">YEAR(B210)</f>
        <v>2022</v>
      </c>
      <c r="Q210" s="13" t="str">
        <f aca="false">"Q"&amp;ROUNDUP(MONTH(B210)/3,0)</f>
        <v>Q4</v>
      </c>
      <c r="R210" s="13" t="str">
        <f aca="false">TEXT(B210,"MMM-YYYY")</f>
        <v>Nov-2022</v>
      </c>
    </row>
    <row r="211" customFormat="false" ht="15" hidden="false" customHeight="true" outlineLevel="0" collapsed="false">
      <c r="A211" s="7" t="s">
        <v>307</v>
      </c>
      <c r="B211" s="8" t="n">
        <v>44881</v>
      </c>
      <c r="C211" s="7" t="s">
        <v>94</v>
      </c>
      <c r="D211" s="7" t="s">
        <v>48</v>
      </c>
      <c r="E211" s="7" t="s">
        <v>62</v>
      </c>
      <c r="F211" s="7" t="s">
        <v>96</v>
      </c>
      <c r="G211" s="9" t="s">
        <v>97</v>
      </c>
      <c r="H211" s="7" t="n">
        <v>3</v>
      </c>
      <c r="I211" s="10" t="n">
        <v>111</v>
      </c>
      <c r="J211" s="10" t="n">
        <v>80</v>
      </c>
      <c r="K211" s="7" t="n">
        <v>12</v>
      </c>
      <c r="L211" s="7" t="s">
        <v>20</v>
      </c>
      <c r="M211" s="10" t="n">
        <v>333</v>
      </c>
      <c r="N211" s="10" t="n">
        <v>93</v>
      </c>
      <c r="O211" s="14" t="n">
        <f aca="false">N211/M211</f>
        <v>0.279279279279279</v>
      </c>
      <c r="P211" s="15" t="n">
        <f aca="false">YEAR(B211)</f>
        <v>2022</v>
      </c>
      <c r="Q211" s="15" t="str">
        <f aca="false">"Q"&amp;ROUNDUP(MONTH(B211)/3,0)</f>
        <v>Q4</v>
      </c>
      <c r="R211" s="15" t="str">
        <f aca="false">TEXT(B211,"MMM-YYYY")</f>
        <v>Nov-2022</v>
      </c>
    </row>
    <row r="212" customFormat="false" ht="15" hidden="false" customHeight="true" outlineLevel="0" collapsed="false">
      <c r="A212" s="3" t="s">
        <v>308</v>
      </c>
      <c r="B212" s="4" t="n">
        <v>44882</v>
      </c>
      <c r="C212" s="3" t="s">
        <v>136</v>
      </c>
      <c r="D212" s="3" t="s">
        <v>35</v>
      </c>
      <c r="E212" s="3" t="s">
        <v>77</v>
      </c>
      <c r="F212" s="3" t="s">
        <v>152</v>
      </c>
      <c r="G212" s="5" t="s">
        <v>153</v>
      </c>
      <c r="H212" s="3" t="n">
        <v>8</v>
      </c>
      <c r="I212" s="6" t="n">
        <v>496</v>
      </c>
      <c r="J212" s="6" t="n">
        <v>350</v>
      </c>
      <c r="K212" s="3" t="n">
        <v>46</v>
      </c>
      <c r="L212" s="3" t="s">
        <v>20</v>
      </c>
      <c r="M212" s="6" t="n">
        <v>3968</v>
      </c>
      <c r="N212" s="6" t="n">
        <v>1168</v>
      </c>
      <c r="O212" s="12" t="n">
        <f aca="false">N212/M212</f>
        <v>0.294354838709677</v>
      </c>
      <c r="P212" s="13" t="n">
        <f aca="false">YEAR(B212)</f>
        <v>2022</v>
      </c>
      <c r="Q212" s="13" t="str">
        <f aca="false">"Q"&amp;ROUNDUP(MONTH(B212)/3,0)</f>
        <v>Q4</v>
      </c>
      <c r="R212" s="13" t="str">
        <f aca="false">TEXT(B212,"MMM-YYYY")</f>
        <v>Nov-2022</v>
      </c>
    </row>
    <row r="213" customFormat="false" ht="15" hidden="false" customHeight="true" outlineLevel="0" collapsed="false">
      <c r="A213" s="7" t="s">
        <v>309</v>
      </c>
      <c r="B213" s="8" t="n">
        <v>44883</v>
      </c>
      <c r="C213" s="7" t="s">
        <v>43</v>
      </c>
      <c r="D213" s="7" t="s">
        <v>16</v>
      </c>
      <c r="E213" s="7" t="s">
        <v>62</v>
      </c>
      <c r="F213" s="7" t="s">
        <v>63</v>
      </c>
      <c r="G213" s="9" t="s">
        <v>64</v>
      </c>
      <c r="H213" s="7" t="n">
        <v>10</v>
      </c>
      <c r="I213" s="10" t="n">
        <v>77</v>
      </c>
      <c r="J213" s="10" t="n">
        <v>60</v>
      </c>
      <c r="K213" s="7" t="n">
        <v>28</v>
      </c>
      <c r="L213" s="7" t="s">
        <v>26</v>
      </c>
      <c r="M213" s="10" t="n">
        <v>770</v>
      </c>
      <c r="N213" s="10" t="n">
        <v>170</v>
      </c>
      <c r="O213" s="14" t="n">
        <f aca="false">N213/M213</f>
        <v>0.220779220779221</v>
      </c>
      <c r="P213" s="15" t="n">
        <f aca="false">YEAR(B213)</f>
        <v>2022</v>
      </c>
      <c r="Q213" s="15" t="str">
        <f aca="false">"Q"&amp;ROUNDUP(MONTH(B213)/3,0)</f>
        <v>Q4</v>
      </c>
      <c r="R213" s="15" t="str">
        <f aca="false">TEXT(B213,"MMM-YYYY")</f>
        <v>Nov-2022</v>
      </c>
    </row>
    <row r="214" customFormat="false" ht="15" hidden="false" customHeight="true" outlineLevel="0" collapsed="false">
      <c r="A214" s="3" t="s">
        <v>310</v>
      </c>
      <c r="B214" s="4" t="n">
        <v>44884</v>
      </c>
      <c r="C214" s="3" t="s">
        <v>22</v>
      </c>
      <c r="D214" s="3" t="s">
        <v>16</v>
      </c>
      <c r="E214" s="3" t="s">
        <v>23</v>
      </c>
      <c r="F214" s="3" t="s">
        <v>204</v>
      </c>
      <c r="G214" s="5" t="s">
        <v>205</v>
      </c>
      <c r="H214" s="3" t="n">
        <v>10</v>
      </c>
      <c r="I214" s="6" t="n">
        <v>2251</v>
      </c>
      <c r="J214" s="6" t="n">
        <v>1800</v>
      </c>
      <c r="K214" s="3" t="n">
        <v>28</v>
      </c>
      <c r="L214" s="3" t="s">
        <v>26</v>
      </c>
      <c r="M214" s="6" t="n">
        <v>22510</v>
      </c>
      <c r="N214" s="6" t="n">
        <v>4510</v>
      </c>
      <c r="O214" s="12" t="n">
        <f aca="false">N214/M214</f>
        <v>0.200355397601066</v>
      </c>
      <c r="P214" s="13" t="n">
        <f aca="false">YEAR(B214)</f>
        <v>2022</v>
      </c>
      <c r="Q214" s="13" t="str">
        <f aca="false">"Q"&amp;ROUNDUP(MONTH(B214)/3,0)</f>
        <v>Q4</v>
      </c>
      <c r="R214" s="13" t="str">
        <f aca="false">TEXT(B214,"MMM-YYYY")</f>
        <v>Nov-2022</v>
      </c>
    </row>
    <row r="215" customFormat="false" ht="15" hidden="false" customHeight="true" outlineLevel="0" collapsed="false">
      <c r="A215" s="7" t="s">
        <v>311</v>
      </c>
      <c r="B215" s="8" t="n">
        <v>44884</v>
      </c>
      <c r="C215" s="7" t="s">
        <v>111</v>
      </c>
      <c r="D215" s="7" t="s">
        <v>29</v>
      </c>
      <c r="E215" s="7" t="s">
        <v>23</v>
      </c>
      <c r="F215" s="7" t="s">
        <v>90</v>
      </c>
      <c r="G215" s="9" t="s">
        <v>91</v>
      </c>
      <c r="H215" s="7" t="n">
        <v>7</v>
      </c>
      <c r="I215" s="10" t="n">
        <v>737</v>
      </c>
      <c r="J215" s="10" t="n">
        <v>600</v>
      </c>
      <c r="K215" s="7" t="n">
        <v>21</v>
      </c>
      <c r="L215" s="7" t="s">
        <v>26</v>
      </c>
      <c r="M215" s="10" t="n">
        <v>5159</v>
      </c>
      <c r="N215" s="10" t="n">
        <v>959</v>
      </c>
      <c r="O215" s="14" t="n">
        <f aca="false">N215/M215</f>
        <v>0.185888738127544</v>
      </c>
      <c r="P215" s="15" t="n">
        <f aca="false">YEAR(B215)</f>
        <v>2022</v>
      </c>
      <c r="Q215" s="15" t="str">
        <f aca="false">"Q"&amp;ROUNDUP(MONTH(B215)/3,0)</f>
        <v>Q4</v>
      </c>
      <c r="R215" s="15" t="str">
        <f aca="false">TEXT(B215,"MMM-YYYY")</f>
        <v>Nov-2022</v>
      </c>
    </row>
    <row r="216" customFormat="false" ht="15" hidden="false" customHeight="true" outlineLevel="0" collapsed="false">
      <c r="A216" s="3" t="s">
        <v>312</v>
      </c>
      <c r="B216" s="4" t="n">
        <v>44888</v>
      </c>
      <c r="C216" s="3" t="s">
        <v>15</v>
      </c>
      <c r="D216" s="3" t="s">
        <v>16</v>
      </c>
      <c r="E216" s="3" t="s">
        <v>17</v>
      </c>
      <c r="F216" s="3" t="s">
        <v>59</v>
      </c>
      <c r="G216" s="5" t="s">
        <v>60</v>
      </c>
      <c r="H216" s="3" t="n">
        <v>7</v>
      </c>
      <c r="I216" s="6" t="n">
        <v>387</v>
      </c>
      <c r="J216" s="6" t="n">
        <v>280</v>
      </c>
      <c r="K216" s="3" t="n">
        <v>29</v>
      </c>
      <c r="L216" s="3" t="s">
        <v>26</v>
      </c>
      <c r="M216" s="6" t="n">
        <v>2709</v>
      </c>
      <c r="N216" s="6" t="n">
        <v>749</v>
      </c>
      <c r="O216" s="12" t="n">
        <f aca="false">N216/M216</f>
        <v>0.276485788113695</v>
      </c>
      <c r="P216" s="13" t="n">
        <f aca="false">YEAR(B216)</f>
        <v>2022</v>
      </c>
      <c r="Q216" s="13" t="str">
        <f aca="false">"Q"&amp;ROUNDUP(MONTH(B216)/3,0)</f>
        <v>Q4</v>
      </c>
      <c r="R216" s="13" t="str">
        <f aca="false">TEXT(B216,"MMM-YYYY")</f>
        <v>Nov-2022</v>
      </c>
    </row>
    <row r="217" customFormat="false" ht="15" hidden="false" customHeight="true" outlineLevel="0" collapsed="false">
      <c r="A217" s="7" t="s">
        <v>313</v>
      </c>
      <c r="B217" s="8" t="n">
        <v>44889</v>
      </c>
      <c r="C217" s="7" t="s">
        <v>28</v>
      </c>
      <c r="D217" s="7" t="s">
        <v>29</v>
      </c>
      <c r="E217" s="7" t="s">
        <v>17</v>
      </c>
      <c r="F217" s="7" t="s">
        <v>44</v>
      </c>
      <c r="G217" s="9" t="s">
        <v>45</v>
      </c>
      <c r="H217" s="7" t="n">
        <v>2</v>
      </c>
      <c r="I217" s="10" t="n">
        <v>342</v>
      </c>
      <c r="J217" s="10" t="n">
        <v>250</v>
      </c>
      <c r="K217" s="7" t="n">
        <v>21</v>
      </c>
      <c r="L217" s="7" t="s">
        <v>20</v>
      </c>
      <c r="M217" s="10" t="n">
        <v>684</v>
      </c>
      <c r="N217" s="10" t="n">
        <v>184</v>
      </c>
      <c r="O217" s="14" t="n">
        <f aca="false">N217/M217</f>
        <v>0.269005847953216</v>
      </c>
      <c r="P217" s="15" t="n">
        <f aca="false">YEAR(B217)</f>
        <v>2022</v>
      </c>
      <c r="Q217" s="15" t="str">
        <f aca="false">"Q"&amp;ROUNDUP(MONTH(B217)/3,0)</f>
        <v>Q4</v>
      </c>
      <c r="R217" s="15" t="str">
        <f aca="false">TEXT(B217,"MMM-YYYY")</f>
        <v>Nov-2022</v>
      </c>
    </row>
    <row r="218" customFormat="false" ht="15" hidden="false" customHeight="true" outlineLevel="0" collapsed="false">
      <c r="A218" s="3" t="s">
        <v>314</v>
      </c>
      <c r="B218" s="4" t="n">
        <v>44889</v>
      </c>
      <c r="C218" s="3" t="s">
        <v>72</v>
      </c>
      <c r="D218" s="3" t="s">
        <v>35</v>
      </c>
      <c r="E218" s="3" t="s">
        <v>39</v>
      </c>
      <c r="F218" s="3" t="s">
        <v>99</v>
      </c>
      <c r="G218" s="5" t="s">
        <v>100</v>
      </c>
      <c r="H218" s="3" t="n">
        <v>8</v>
      </c>
      <c r="I218" s="6" t="n">
        <v>270</v>
      </c>
      <c r="J218" s="6" t="n">
        <v>220</v>
      </c>
      <c r="K218" s="3" t="n">
        <v>36</v>
      </c>
      <c r="L218" s="3" t="s">
        <v>26</v>
      </c>
      <c r="M218" s="6" t="n">
        <v>2160</v>
      </c>
      <c r="N218" s="6" t="n">
        <v>400</v>
      </c>
      <c r="O218" s="12" t="n">
        <f aca="false">N218/M218</f>
        <v>0.185185185185185</v>
      </c>
      <c r="P218" s="13" t="n">
        <f aca="false">YEAR(B218)</f>
        <v>2022</v>
      </c>
      <c r="Q218" s="13" t="str">
        <f aca="false">"Q"&amp;ROUNDUP(MONTH(B218)/3,0)</f>
        <v>Q4</v>
      </c>
      <c r="R218" s="13" t="str">
        <f aca="false">TEXT(B218,"MMM-YYYY")</f>
        <v>Nov-2022</v>
      </c>
    </row>
    <row r="219" customFormat="false" ht="15" hidden="false" customHeight="true" outlineLevel="0" collapsed="false">
      <c r="A219" s="7" t="s">
        <v>315</v>
      </c>
      <c r="B219" s="8" t="n">
        <v>44896</v>
      </c>
      <c r="C219" s="7" t="s">
        <v>15</v>
      </c>
      <c r="D219" s="7" t="s">
        <v>16</v>
      </c>
      <c r="E219" s="7" t="s">
        <v>39</v>
      </c>
      <c r="F219" s="7" t="s">
        <v>220</v>
      </c>
      <c r="G219" s="9" t="s">
        <v>221</v>
      </c>
      <c r="H219" s="7" t="n">
        <v>6</v>
      </c>
      <c r="I219" s="10" t="n">
        <v>202</v>
      </c>
      <c r="J219" s="10" t="n">
        <v>180</v>
      </c>
      <c r="K219" s="7" t="n">
        <v>11</v>
      </c>
      <c r="L219" s="7" t="s">
        <v>20</v>
      </c>
      <c r="M219" s="10" t="n">
        <v>1212</v>
      </c>
      <c r="N219" s="10" t="n">
        <v>132</v>
      </c>
      <c r="O219" s="14" t="n">
        <f aca="false">N219/M219</f>
        <v>0.108910891089109</v>
      </c>
      <c r="P219" s="15" t="n">
        <f aca="false">YEAR(B219)</f>
        <v>2022</v>
      </c>
      <c r="Q219" s="15" t="str">
        <f aca="false">"Q"&amp;ROUNDUP(MONTH(B219)/3,0)</f>
        <v>Q4</v>
      </c>
      <c r="R219" s="15" t="str">
        <f aca="false">TEXT(B219,"MMM-YYYY")</f>
        <v>Dec-2022</v>
      </c>
    </row>
    <row r="220" customFormat="false" ht="15" hidden="false" customHeight="true" outlineLevel="0" collapsed="false">
      <c r="A220" s="3" t="s">
        <v>316</v>
      </c>
      <c r="B220" s="4" t="n">
        <v>44897</v>
      </c>
      <c r="C220" s="3" t="s">
        <v>111</v>
      </c>
      <c r="D220" s="3" t="s">
        <v>29</v>
      </c>
      <c r="E220" s="3" t="s">
        <v>62</v>
      </c>
      <c r="F220" s="3" t="s">
        <v>63</v>
      </c>
      <c r="G220" s="5" t="s">
        <v>64</v>
      </c>
      <c r="H220" s="3" t="n">
        <v>15</v>
      </c>
      <c r="I220" s="6" t="n">
        <v>83</v>
      </c>
      <c r="J220" s="6" t="n">
        <v>60</v>
      </c>
      <c r="K220" s="3" t="n">
        <v>35</v>
      </c>
      <c r="L220" s="3" t="s">
        <v>20</v>
      </c>
      <c r="M220" s="6" t="n">
        <v>1245</v>
      </c>
      <c r="N220" s="6" t="n">
        <v>345</v>
      </c>
      <c r="O220" s="12" t="n">
        <f aca="false">N220/M220</f>
        <v>0.27710843373494</v>
      </c>
      <c r="P220" s="13" t="n">
        <f aca="false">YEAR(B220)</f>
        <v>2022</v>
      </c>
      <c r="Q220" s="13" t="str">
        <f aca="false">"Q"&amp;ROUNDUP(MONTH(B220)/3,0)</f>
        <v>Q4</v>
      </c>
      <c r="R220" s="13" t="str">
        <f aca="false">TEXT(B220,"MMM-YYYY")</f>
        <v>Dec-2022</v>
      </c>
    </row>
    <row r="221" customFormat="false" ht="15" hidden="false" customHeight="true" outlineLevel="0" collapsed="false">
      <c r="A221" s="7" t="s">
        <v>317</v>
      </c>
      <c r="B221" s="8" t="n">
        <v>44898</v>
      </c>
      <c r="C221" s="7" t="s">
        <v>47</v>
      </c>
      <c r="D221" s="7" t="s">
        <v>48</v>
      </c>
      <c r="E221" s="7" t="s">
        <v>17</v>
      </c>
      <c r="F221" s="7" t="s">
        <v>44</v>
      </c>
      <c r="G221" s="9" t="s">
        <v>45</v>
      </c>
      <c r="H221" s="7" t="n">
        <v>2</v>
      </c>
      <c r="I221" s="10" t="n">
        <v>353</v>
      </c>
      <c r="J221" s="10" t="n">
        <v>250</v>
      </c>
      <c r="K221" s="7" t="n">
        <v>41</v>
      </c>
      <c r="L221" s="7" t="s">
        <v>26</v>
      </c>
      <c r="M221" s="10" t="n">
        <v>706</v>
      </c>
      <c r="N221" s="10" t="n">
        <v>206</v>
      </c>
      <c r="O221" s="14" t="n">
        <f aca="false">N221/M221</f>
        <v>0.291784702549575</v>
      </c>
      <c r="P221" s="15" t="n">
        <f aca="false">YEAR(B221)</f>
        <v>2022</v>
      </c>
      <c r="Q221" s="15" t="str">
        <f aca="false">"Q"&amp;ROUNDUP(MONTH(B221)/3,0)</f>
        <v>Q4</v>
      </c>
      <c r="R221" s="15" t="str">
        <f aca="false">TEXT(B221,"MMM-YYYY")</f>
        <v>Dec-2022</v>
      </c>
    </row>
    <row r="222" customFormat="false" ht="15" hidden="false" customHeight="true" outlineLevel="0" collapsed="false">
      <c r="A222" s="3" t="s">
        <v>318</v>
      </c>
      <c r="B222" s="4" t="n">
        <v>44900</v>
      </c>
      <c r="C222" s="3" t="s">
        <v>28</v>
      </c>
      <c r="D222" s="3" t="s">
        <v>29</v>
      </c>
      <c r="E222" s="3" t="s">
        <v>17</v>
      </c>
      <c r="F222" s="3" t="s">
        <v>44</v>
      </c>
      <c r="G222" s="5" t="s">
        <v>45</v>
      </c>
      <c r="H222" s="3" t="n">
        <v>8</v>
      </c>
      <c r="I222" s="6" t="n">
        <v>362</v>
      </c>
      <c r="J222" s="6" t="n">
        <v>250</v>
      </c>
      <c r="K222" s="3" t="n">
        <v>18</v>
      </c>
      <c r="L222" s="3" t="s">
        <v>26</v>
      </c>
      <c r="M222" s="6" t="n">
        <v>2896</v>
      </c>
      <c r="N222" s="6" t="n">
        <v>896</v>
      </c>
      <c r="O222" s="12" t="n">
        <f aca="false">N222/M222</f>
        <v>0.30939226519337</v>
      </c>
      <c r="P222" s="13" t="n">
        <f aca="false">YEAR(B222)</f>
        <v>2022</v>
      </c>
      <c r="Q222" s="13" t="str">
        <f aca="false">"Q"&amp;ROUNDUP(MONTH(B222)/3,0)</f>
        <v>Q4</v>
      </c>
      <c r="R222" s="13" t="str">
        <f aca="false">TEXT(B222,"MMM-YYYY")</f>
        <v>Dec-2022</v>
      </c>
    </row>
    <row r="223" customFormat="false" ht="15" hidden="false" customHeight="true" outlineLevel="0" collapsed="false">
      <c r="A223" s="7" t="s">
        <v>319</v>
      </c>
      <c r="B223" s="8" t="n">
        <v>44901</v>
      </c>
      <c r="C223" s="7" t="s">
        <v>136</v>
      </c>
      <c r="D223" s="7" t="s">
        <v>35</v>
      </c>
      <c r="E223" s="7" t="s">
        <v>77</v>
      </c>
      <c r="F223" s="7" t="s">
        <v>81</v>
      </c>
      <c r="G223" s="9" t="s">
        <v>82</v>
      </c>
      <c r="H223" s="7" t="n">
        <v>4</v>
      </c>
      <c r="I223" s="10" t="n">
        <v>805</v>
      </c>
      <c r="J223" s="10" t="n">
        <v>600</v>
      </c>
      <c r="K223" s="7" t="n">
        <v>32</v>
      </c>
      <c r="L223" s="7" t="s">
        <v>26</v>
      </c>
      <c r="M223" s="10" t="n">
        <v>3220</v>
      </c>
      <c r="N223" s="10" t="n">
        <v>820</v>
      </c>
      <c r="O223" s="14" t="n">
        <f aca="false">N223/M223</f>
        <v>0.254658385093168</v>
      </c>
      <c r="P223" s="15" t="n">
        <f aca="false">YEAR(B223)</f>
        <v>2022</v>
      </c>
      <c r="Q223" s="15" t="str">
        <f aca="false">"Q"&amp;ROUNDUP(MONTH(B223)/3,0)</f>
        <v>Q4</v>
      </c>
      <c r="R223" s="15" t="str">
        <f aca="false">TEXT(B223,"MMM-YYYY")</f>
        <v>Dec-2022</v>
      </c>
    </row>
    <row r="224" customFormat="false" ht="15" hidden="false" customHeight="true" outlineLevel="0" collapsed="false">
      <c r="A224" s="3" t="s">
        <v>320</v>
      </c>
      <c r="B224" s="4" t="n">
        <v>44901</v>
      </c>
      <c r="C224" s="3" t="s">
        <v>28</v>
      </c>
      <c r="D224" s="3" t="s">
        <v>29</v>
      </c>
      <c r="E224" s="3" t="s">
        <v>77</v>
      </c>
      <c r="F224" s="3" t="s">
        <v>78</v>
      </c>
      <c r="G224" s="5" t="s">
        <v>79</v>
      </c>
      <c r="H224" s="3" t="n">
        <v>2</v>
      </c>
      <c r="I224" s="6" t="n">
        <v>1260</v>
      </c>
      <c r="J224" s="6" t="n">
        <v>900</v>
      </c>
      <c r="K224" s="3" t="n">
        <v>7</v>
      </c>
      <c r="L224" s="3" t="s">
        <v>26</v>
      </c>
      <c r="M224" s="6" t="n">
        <v>2520</v>
      </c>
      <c r="N224" s="6" t="n">
        <v>720</v>
      </c>
      <c r="O224" s="12" t="n">
        <f aca="false">N224/M224</f>
        <v>0.285714285714286</v>
      </c>
      <c r="P224" s="13" t="n">
        <f aca="false">YEAR(B224)</f>
        <v>2022</v>
      </c>
      <c r="Q224" s="13" t="str">
        <f aca="false">"Q"&amp;ROUNDUP(MONTH(B224)/3,0)</f>
        <v>Q4</v>
      </c>
      <c r="R224" s="13" t="str">
        <f aca="false">TEXT(B224,"MMM-YYYY")</f>
        <v>Dec-2022</v>
      </c>
    </row>
    <row r="225" customFormat="false" ht="15" hidden="false" customHeight="true" outlineLevel="0" collapsed="false">
      <c r="A225" s="7" t="s">
        <v>321</v>
      </c>
      <c r="B225" s="8" t="n">
        <v>44902</v>
      </c>
      <c r="C225" s="7" t="s">
        <v>15</v>
      </c>
      <c r="D225" s="7" t="s">
        <v>16</v>
      </c>
      <c r="E225" s="7" t="s">
        <v>23</v>
      </c>
      <c r="F225" s="7" t="s">
        <v>204</v>
      </c>
      <c r="G225" s="9" t="s">
        <v>205</v>
      </c>
      <c r="H225" s="7" t="n">
        <v>10</v>
      </c>
      <c r="I225" s="10" t="n">
        <v>2263</v>
      </c>
      <c r="J225" s="10" t="n">
        <v>1800</v>
      </c>
      <c r="K225" s="7" t="n">
        <v>19</v>
      </c>
      <c r="L225" s="7" t="s">
        <v>26</v>
      </c>
      <c r="M225" s="10" t="n">
        <v>22630</v>
      </c>
      <c r="N225" s="10" t="n">
        <v>4630</v>
      </c>
      <c r="O225" s="14" t="n">
        <f aca="false">N225/M225</f>
        <v>0.204595669465312</v>
      </c>
      <c r="P225" s="15" t="n">
        <f aca="false">YEAR(B225)</f>
        <v>2022</v>
      </c>
      <c r="Q225" s="15" t="str">
        <f aca="false">"Q"&amp;ROUNDUP(MONTH(B225)/3,0)</f>
        <v>Q4</v>
      </c>
      <c r="R225" s="15" t="str">
        <f aca="false">TEXT(B225,"MMM-YYYY")</f>
        <v>Dec-2022</v>
      </c>
    </row>
    <row r="226" customFormat="false" ht="15" hidden="false" customHeight="true" outlineLevel="0" collapsed="false">
      <c r="A226" s="3" t="s">
        <v>322</v>
      </c>
      <c r="B226" s="4" t="n">
        <v>44903</v>
      </c>
      <c r="C226" s="3" t="s">
        <v>43</v>
      </c>
      <c r="D226" s="3" t="s">
        <v>16</v>
      </c>
      <c r="E226" s="3" t="s">
        <v>62</v>
      </c>
      <c r="F226" s="3" t="s">
        <v>84</v>
      </c>
      <c r="G226" s="5" t="s">
        <v>85</v>
      </c>
      <c r="H226" s="3" t="n">
        <v>8</v>
      </c>
      <c r="I226" s="6" t="n">
        <v>479</v>
      </c>
      <c r="J226" s="6" t="n">
        <v>350</v>
      </c>
      <c r="K226" s="3" t="n">
        <v>36</v>
      </c>
      <c r="L226" s="3" t="s">
        <v>26</v>
      </c>
      <c r="M226" s="6" t="n">
        <v>3832</v>
      </c>
      <c r="N226" s="6" t="n">
        <v>1032</v>
      </c>
      <c r="O226" s="12" t="n">
        <f aca="false">N226/M226</f>
        <v>0.269311064718163</v>
      </c>
      <c r="P226" s="13" t="n">
        <f aca="false">YEAR(B226)</f>
        <v>2022</v>
      </c>
      <c r="Q226" s="13" t="str">
        <f aca="false">"Q"&amp;ROUNDUP(MONTH(B226)/3,0)</f>
        <v>Q4</v>
      </c>
      <c r="R226" s="13" t="str">
        <f aca="false">TEXT(B226,"MMM-YYYY")</f>
        <v>Dec-2022</v>
      </c>
    </row>
    <row r="227" customFormat="false" ht="15" hidden="false" customHeight="true" outlineLevel="0" collapsed="false">
      <c r="A227" s="7" t="s">
        <v>323</v>
      </c>
      <c r="B227" s="8" t="n">
        <v>44908</v>
      </c>
      <c r="C227" s="7" t="s">
        <v>28</v>
      </c>
      <c r="D227" s="7" t="s">
        <v>29</v>
      </c>
      <c r="E227" s="7" t="s">
        <v>62</v>
      </c>
      <c r="F227" s="7" t="s">
        <v>69</v>
      </c>
      <c r="G227" s="9" t="s">
        <v>70</v>
      </c>
      <c r="H227" s="7" t="n">
        <v>15</v>
      </c>
      <c r="I227" s="10" t="n">
        <v>67</v>
      </c>
      <c r="J227" s="10" t="n">
        <v>50</v>
      </c>
      <c r="K227" s="7" t="n">
        <v>30</v>
      </c>
      <c r="L227" s="7" t="s">
        <v>20</v>
      </c>
      <c r="M227" s="10" t="n">
        <v>1005</v>
      </c>
      <c r="N227" s="10" t="n">
        <v>255</v>
      </c>
      <c r="O227" s="14" t="n">
        <f aca="false">N227/M227</f>
        <v>0.253731343283582</v>
      </c>
      <c r="P227" s="15" t="n">
        <f aca="false">YEAR(B227)</f>
        <v>2022</v>
      </c>
      <c r="Q227" s="15" t="str">
        <f aca="false">"Q"&amp;ROUNDUP(MONTH(B227)/3,0)</f>
        <v>Q4</v>
      </c>
      <c r="R227" s="15" t="str">
        <f aca="false">TEXT(B227,"MMM-YYYY")</f>
        <v>Dec-2022</v>
      </c>
    </row>
    <row r="228" customFormat="false" ht="15" hidden="false" customHeight="true" outlineLevel="0" collapsed="false">
      <c r="A228" s="3" t="s">
        <v>324</v>
      </c>
      <c r="B228" s="4" t="n">
        <v>44911</v>
      </c>
      <c r="C228" s="3" t="s">
        <v>52</v>
      </c>
      <c r="D228" s="3" t="s">
        <v>29</v>
      </c>
      <c r="E228" s="3" t="s">
        <v>77</v>
      </c>
      <c r="F228" s="3" t="s">
        <v>180</v>
      </c>
      <c r="G228" s="5" t="s">
        <v>181</v>
      </c>
      <c r="H228" s="3" t="n">
        <v>2</v>
      </c>
      <c r="I228" s="6" t="n">
        <v>254</v>
      </c>
      <c r="J228" s="6" t="n">
        <v>180</v>
      </c>
      <c r="K228" s="3" t="n">
        <v>48</v>
      </c>
      <c r="L228" s="3" t="s">
        <v>26</v>
      </c>
      <c r="M228" s="6" t="n">
        <v>508</v>
      </c>
      <c r="N228" s="6" t="n">
        <v>148</v>
      </c>
      <c r="O228" s="12" t="n">
        <f aca="false">N228/M228</f>
        <v>0.291338582677165</v>
      </c>
      <c r="P228" s="13" t="n">
        <f aca="false">YEAR(B228)</f>
        <v>2022</v>
      </c>
      <c r="Q228" s="13" t="str">
        <f aca="false">"Q"&amp;ROUNDUP(MONTH(B228)/3,0)</f>
        <v>Q4</v>
      </c>
      <c r="R228" s="13" t="str">
        <f aca="false">TEXT(B228,"MMM-YYYY")</f>
        <v>Dec-2022</v>
      </c>
    </row>
    <row r="229" customFormat="false" ht="15" hidden="false" customHeight="true" outlineLevel="0" collapsed="false">
      <c r="A229" s="7" t="s">
        <v>325</v>
      </c>
      <c r="B229" s="8" t="n">
        <v>44912</v>
      </c>
      <c r="C229" s="7" t="s">
        <v>43</v>
      </c>
      <c r="D229" s="7" t="s">
        <v>16</v>
      </c>
      <c r="E229" s="7" t="s">
        <v>39</v>
      </c>
      <c r="F229" s="7" t="s">
        <v>161</v>
      </c>
      <c r="G229" s="9" t="s">
        <v>162</v>
      </c>
      <c r="H229" s="7" t="n">
        <v>10</v>
      </c>
      <c r="I229" s="10" t="n">
        <v>429</v>
      </c>
      <c r="J229" s="10" t="n">
        <v>350</v>
      </c>
      <c r="K229" s="7" t="n">
        <v>11</v>
      </c>
      <c r="L229" s="7" t="s">
        <v>26</v>
      </c>
      <c r="M229" s="10" t="n">
        <v>4290</v>
      </c>
      <c r="N229" s="10" t="n">
        <v>790</v>
      </c>
      <c r="O229" s="14" t="n">
        <f aca="false">N229/M229</f>
        <v>0.184149184149184</v>
      </c>
      <c r="P229" s="15" t="n">
        <f aca="false">YEAR(B229)</f>
        <v>2022</v>
      </c>
      <c r="Q229" s="15" t="str">
        <f aca="false">"Q"&amp;ROUNDUP(MONTH(B229)/3,0)</f>
        <v>Q4</v>
      </c>
      <c r="R229" s="15" t="str">
        <f aca="false">TEXT(B229,"MMM-YYYY")</f>
        <v>Dec-2022</v>
      </c>
    </row>
    <row r="230" customFormat="false" ht="15" hidden="false" customHeight="true" outlineLevel="0" collapsed="false">
      <c r="A230" s="3" t="s">
        <v>326</v>
      </c>
      <c r="B230" s="4" t="n">
        <v>44913</v>
      </c>
      <c r="C230" s="3" t="s">
        <v>72</v>
      </c>
      <c r="D230" s="3" t="s">
        <v>35</v>
      </c>
      <c r="E230" s="3" t="s">
        <v>23</v>
      </c>
      <c r="F230" s="3" t="s">
        <v>49</v>
      </c>
      <c r="G230" s="5" t="s">
        <v>50</v>
      </c>
      <c r="H230" s="3" t="n">
        <v>3</v>
      </c>
      <c r="I230" s="6" t="n">
        <v>22492</v>
      </c>
      <c r="J230" s="6" t="n">
        <v>18000</v>
      </c>
      <c r="K230" s="3" t="n">
        <v>24</v>
      </c>
      <c r="L230" s="3" t="s">
        <v>26</v>
      </c>
      <c r="M230" s="6" t="n">
        <v>67476</v>
      </c>
      <c r="N230" s="6" t="n">
        <v>13476</v>
      </c>
      <c r="O230" s="12" t="n">
        <f aca="false">N230/M230</f>
        <v>0.199715454383781</v>
      </c>
      <c r="P230" s="13" t="n">
        <f aca="false">YEAR(B230)</f>
        <v>2022</v>
      </c>
      <c r="Q230" s="13" t="str">
        <f aca="false">"Q"&amp;ROUNDUP(MONTH(B230)/3,0)</f>
        <v>Q4</v>
      </c>
      <c r="R230" s="13" t="str">
        <f aca="false">TEXT(B230,"MMM-YYYY")</f>
        <v>Dec-2022</v>
      </c>
    </row>
    <row r="231" customFormat="false" ht="15" hidden="false" customHeight="true" outlineLevel="0" collapsed="false">
      <c r="A231" s="7" t="s">
        <v>327</v>
      </c>
      <c r="B231" s="8" t="n">
        <v>44913</v>
      </c>
      <c r="C231" s="7" t="s">
        <v>52</v>
      </c>
      <c r="D231" s="7" t="s">
        <v>29</v>
      </c>
      <c r="E231" s="7" t="s">
        <v>77</v>
      </c>
      <c r="F231" s="7" t="s">
        <v>78</v>
      </c>
      <c r="G231" s="9" t="s">
        <v>79</v>
      </c>
      <c r="H231" s="7" t="n">
        <v>5</v>
      </c>
      <c r="I231" s="10" t="n">
        <v>1220</v>
      </c>
      <c r="J231" s="10" t="n">
        <v>900</v>
      </c>
      <c r="K231" s="7" t="n">
        <v>0</v>
      </c>
      <c r="L231" s="7" t="s">
        <v>20</v>
      </c>
      <c r="M231" s="10" t="n">
        <v>6100</v>
      </c>
      <c r="N231" s="10" t="n">
        <v>1600</v>
      </c>
      <c r="O231" s="14" t="n">
        <f aca="false">N231/M231</f>
        <v>0.262295081967213</v>
      </c>
      <c r="P231" s="15" t="n">
        <f aca="false">YEAR(B231)</f>
        <v>2022</v>
      </c>
      <c r="Q231" s="15" t="str">
        <f aca="false">"Q"&amp;ROUNDUP(MONTH(B231)/3,0)</f>
        <v>Q4</v>
      </c>
      <c r="R231" s="15" t="str">
        <f aca="false">TEXT(B231,"MMM-YYYY")</f>
        <v>Dec-2022</v>
      </c>
    </row>
    <row r="232" customFormat="false" ht="15" hidden="false" customHeight="true" outlineLevel="0" collapsed="false">
      <c r="A232" s="3" t="s">
        <v>328</v>
      </c>
      <c r="B232" s="4" t="n">
        <v>44914</v>
      </c>
      <c r="C232" s="3" t="s">
        <v>94</v>
      </c>
      <c r="D232" s="3" t="s">
        <v>48</v>
      </c>
      <c r="E232" s="3" t="s">
        <v>77</v>
      </c>
      <c r="F232" s="3" t="s">
        <v>152</v>
      </c>
      <c r="G232" s="5" t="s">
        <v>153</v>
      </c>
      <c r="H232" s="3" t="n">
        <v>7</v>
      </c>
      <c r="I232" s="6" t="n">
        <v>489</v>
      </c>
      <c r="J232" s="6" t="n">
        <v>350</v>
      </c>
      <c r="K232" s="3" t="n">
        <v>0</v>
      </c>
      <c r="L232" s="3" t="s">
        <v>20</v>
      </c>
      <c r="M232" s="6" t="n">
        <v>3423</v>
      </c>
      <c r="N232" s="6" t="n">
        <v>973</v>
      </c>
      <c r="O232" s="12" t="n">
        <f aca="false">N232/M232</f>
        <v>0.284253578732106</v>
      </c>
      <c r="P232" s="13" t="n">
        <f aca="false">YEAR(B232)</f>
        <v>2022</v>
      </c>
      <c r="Q232" s="13" t="str">
        <f aca="false">"Q"&amp;ROUNDUP(MONTH(B232)/3,0)</f>
        <v>Q4</v>
      </c>
      <c r="R232" s="13" t="str">
        <f aca="false">TEXT(B232,"MMM-YYYY")</f>
        <v>Dec-2022</v>
      </c>
    </row>
    <row r="233" customFormat="false" ht="15" hidden="false" customHeight="true" outlineLevel="0" collapsed="false">
      <c r="A233" s="7" t="s">
        <v>329</v>
      </c>
      <c r="B233" s="8" t="n">
        <v>44916</v>
      </c>
      <c r="C233" s="7" t="s">
        <v>28</v>
      </c>
      <c r="D233" s="7" t="s">
        <v>29</v>
      </c>
      <c r="E233" s="7" t="s">
        <v>39</v>
      </c>
      <c r="F233" s="7" t="s">
        <v>220</v>
      </c>
      <c r="G233" s="9" t="s">
        <v>221</v>
      </c>
      <c r="H233" s="7" t="n">
        <v>3</v>
      </c>
      <c r="I233" s="10" t="n">
        <v>218</v>
      </c>
      <c r="J233" s="10" t="n">
        <v>180</v>
      </c>
      <c r="K233" s="7" t="n">
        <v>38</v>
      </c>
      <c r="L233" s="7" t="s">
        <v>26</v>
      </c>
      <c r="M233" s="10" t="n">
        <v>654</v>
      </c>
      <c r="N233" s="10" t="n">
        <v>114</v>
      </c>
      <c r="O233" s="14" t="n">
        <f aca="false">N233/M233</f>
        <v>0.174311926605505</v>
      </c>
      <c r="P233" s="15" t="n">
        <f aca="false">YEAR(B233)</f>
        <v>2022</v>
      </c>
      <c r="Q233" s="15" t="str">
        <f aca="false">"Q"&amp;ROUNDUP(MONTH(B233)/3,0)</f>
        <v>Q4</v>
      </c>
      <c r="R233" s="15" t="str">
        <f aca="false">TEXT(B233,"MMM-YYYY")</f>
        <v>Dec-2022</v>
      </c>
    </row>
    <row r="234" customFormat="false" ht="15" hidden="false" customHeight="true" outlineLevel="0" collapsed="false">
      <c r="A234" s="3" t="s">
        <v>330</v>
      </c>
      <c r="B234" s="4" t="n">
        <v>44917</v>
      </c>
      <c r="C234" s="3" t="s">
        <v>22</v>
      </c>
      <c r="D234" s="3" t="s">
        <v>16</v>
      </c>
      <c r="E234" s="3" t="s">
        <v>77</v>
      </c>
      <c r="F234" s="3" t="s">
        <v>180</v>
      </c>
      <c r="G234" s="5" t="s">
        <v>181</v>
      </c>
      <c r="H234" s="3" t="n">
        <v>10</v>
      </c>
      <c r="I234" s="6" t="n">
        <v>257</v>
      </c>
      <c r="J234" s="6" t="n">
        <v>180</v>
      </c>
      <c r="K234" s="3" t="n">
        <v>42</v>
      </c>
      <c r="L234" s="3" t="s">
        <v>20</v>
      </c>
      <c r="M234" s="6" t="n">
        <v>2570</v>
      </c>
      <c r="N234" s="6" t="n">
        <v>770</v>
      </c>
      <c r="O234" s="12" t="n">
        <f aca="false">N234/M234</f>
        <v>0.299610894941634</v>
      </c>
      <c r="P234" s="13" t="n">
        <f aca="false">YEAR(B234)</f>
        <v>2022</v>
      </c>
      <c r="Q234" s="13" t="str">
        <f aca="false">"Q"&amp;ROUNDUP(MONTH(B234)/3,0)</f>
        <v>Q4</v>
      </c>
      <c r="R234" s="13" t="str">
        <f aca="false">TEXT(B234,"MMM-YYYY")</f>
        <v>Dec-2022</v>
      </c>
    </row>
    <row r="235" customFormat="false" ht="15" hidden="false" customHeight="true" outlineLevel="0" collapsed="false">
      <c r="A235" s="7" t="s">
        <v>331</v>
      </c>
      <c r="B235" s="8" t="n">
        <v>44920</v>
      </c>
      <c r="C235" s="7" t="s">
        <v>111</v>
      </c>
      <c r="D235" s="7" t="s">
        <v>29</v>
      </c>
      <c r="E235" s="7" t="s">
        <v>39</v>
      </c>
      <c r="F235" s="7" t="s">
        <v>143</v>
      </c>
      <c r="G235" s="9" t="s">
        <v>144</v>
      </c>
      <c r="H235" s="7" t="n">
        <v>12</v>
      </c>
      <c r="I235" s="10" t="n">
        <v>329</v>
      </c>
      <c r="J235" s="10" t="n">
        <v>280</v>
      </c>
      <c r="K235" s="7" t="n">
        <v>9</v>
      </c>
      <c r="L235" s="7" t="s">
        <v>26</v>
      </c>
      <c r="M235" s="10" t="n">
        <v>3948</v>
      </c>
      <c r="N235" s="10" t="n">
        <v>588</v>
      </c>
      <c r="O235" s="14" t="n">
        <f aca="false">N235/M235</f>
        <v>0.148936170212766</v>
      </c>
      <c r="P235" s="15" t="n">
        <f aca="false">YEAR(B235)</f>
        <v>2022</v>
      </c>
      <c r="Q235" s="15" t="str">
        <f aca="false">"Q"&amp;ROUNDUP(MONTH(B235)/3,0)</f>
        <v>Q4</v>
      </c>
      <c r="R235" s="15" t="str">
        <f aca="false">TEXT(B235,"MMM-YYYY")</f>
        <v>Dec-2022</v>
      </c>
    </row>
    <row r="236" customFormat="false" ht="15" hidden="false" customHeight="true" outlineLevel="0" collapsed="false">
      <c r="A236" s="3" t="s">
        <v>332</v>
      </c>
      <c r="B236" s="4" t="n">
        <v>44920</v>
      </c>
      <c r="C236" s="3" t="s">
        <v>47</v>
      </c>
      <c r="D236" s="3" t="s">
        <v>48</v>
      </c>
      <c r="E236" s="3" t="s">
        <v>77</v>
      </c>
      <c r="F236" s="3" t="s">
        <v>180</v>
      </c>
      <c r="G236" s="5" t="s">
        <v>181</v>
      </c>
      <c r="H236" s="3" t="n">
        <v>5</v>
      </c>
      <c r="I236" s="6" t="n">
        <v>247</v>
      </c>
      <c r="J236" s="6" t="n">
        <v>180</v>
      </c>
      <c r="K236" s="3" t="n">
        <v>21</v>
      </c>
      <c r="L236" s="3" t="s">
        <v>26</v>
      </c>
      <c r="M236" s="6" t="n">
        <v>1235</v>
      </c>
      <c r="N236" s="6" t="n">
        <v>335</v>
      </c>
      <c r="O236" s="12" t="n">
        <f aca="false">N236/M236</f>
        <v>0.271255060728745</v>
      </c>
      <c r="P236" s="13" t="n">
        <f aca="false">YEAR(B236)</f>
        <v>2022</v>
      </c>
      <c r="Q236" s="13" t="str">
        <f aca="false">"Q"&amp;ROUNDUP(MONTH(B236)/3,0)</f>
        <v>Q4</v>
      </c>
      <c r="R236" s="13" t="str">
        <f aca="false">TEXT(B236,"MMM-YYYY")</f>
        <v>Dec-2022</v>
      </c>
    </row>
    <row r="237" customFormat="false" ht="15" hidden="false" customHeight="true" outlineLevel="0" collapsed="false">
      <c r="A237" s="7" t="s">
        <v>333</v>
      </c>
      <c r="B237" s="8" t="n">
        <v>44920</v>
      </c>
      <c r="C237" s="7" t="s">
        <v>15</v>
      </c>
      <c r="D237" s="7" t="s">
        <v>16</v>
      </c>
      <c r="E237" s="7" t="s">
        <v>30</v>
      </c>
      <c r="F237" s="7" t="s">
        <v>87</v>
      </c>
      <c r="G237" s="9" t="s">
        <v>88</v>
      </c>
      <c r="H237" s="7" t="n">
        <v>8</v>
      </c>
      <c r="I237" s="10" t="n">
        <v>1014</v>
      </c>
      <c r="J237" s="10" t="n">
        <v>700</v>
      </c>
      <c r="K237" s="7" t="n">
        <v>36</v>
      </c>
      <c r="L237" s="7" t="s">
        <v>26</v>
      </c>
      <c r="M237" s="10" t="n">
        <v>8112</v>
      </c>
      <c r="N237" s="10" t="n">
        <v>2512</v>
      </c>
      <c r="O237" s="14" t="n">
        <f aca="false">N237/M237</f>
        <v>0.309664694280079</v>
      </c>
      <c r="P237" s="15" t="n">
        <f aca="false">YEAR(B237)</f>
        <v>2022</v>
      </c>
      <c r="Q237" s="15" t="str">
        <f aca="false">"Q"&amp;ROUNDUP(MONTH(B237)/3,0)</f>
        <v>Q4</v>
      </c>
      <c r="R237" s="15" t="str">
        <f aca="false">TEXT(B237,"MMM-YYYY")</f>
        <v>Dec-2022</v>
      </c>
    </row>
    <row r="238" customFormat="false" ht="15" hidden="false" customHeight="true" outlineLevel="0" collapsed="false">
      <c r="A238" s="3" t="s">
        <v>334</v>
      </c>
      <c r="B238" s="4" t="n">
        <v>44922</v>
      </c>
      <c r="C238" s="3" t="s">
        <v>15</v>
      </c>
      <c r="D238" s="3" t="s">
        <v>16</v>
      </c>
      <c r="E238" s="3" t="s">
        <v>62</v>
      </c>
      <c r="F238" s="3" t="s">
        <v>84</v>
      </c>
      <c r="G238" s="5" t="s">
        <v>85</v>
      </c>
      <c r="H238" s="3" t="n">
        <v>15</v>
      </c>
      <c r="I238" s="6" t="n">
        <v>488</v>
      </c>
      <c r="J238" s="6" t="n">
        <v>350</v>
      </c>
      <c r="K238" s="3" t="n">
        <v>20</v>
      </c>
      <c r="L238" s="3" t="s">
        <v>26</v>
      </c>
      <c r="M238" s="6" t="n">
        <v>7320</v>
      </c>
      <c r="N238" s="6" t="n">
        <v>2070</v>
      </c>
      <c r="O238" s="12" t="n">
        <f aca="false">N238/M238</f>
        <v>0.282786885245902</v>
      </c>
      <c r="P238" s="13" t="n">
        <f aca="false">YEAR(B238)</f>
        <v>2022</v>
      </c>
      <c r="Q238" s="13" t="str">
        <f aca="false">"Q"&amp;ROUNDUP(MONTH(B238)/3,0)</f>
        <v>Q4</v>
      </c>
      <c r="R238" s="13" t="str">
        <f aca="false">TEXT(B238,"MMM-YYYY")</f>
        <v>Dec-2022</v>
      </c>
    </row>
    <row r="239" customFormat="false" ht="15" hidden="false" customHeight="true" outlineLevel="0" collapsed="false">
      <c r="A239" s="7" t="s">
        <v>335</v>
      </c>
      <c r="B239" s="8" t="n">
        <v>44923</v>
      </c>
      <c r="C239" s="7" t="s">
        <v>52</v>
      </c>
      <c r="D239" s="7" t="s">
        <v>29</v>
      </c>
      <c r="E239" s="7" t="s">
        <v>62</v>
      </c>
      <c r="F239" s="7" t="s">
        <v>84</v>
      </c>
      <c r="G239" s="9" t="s">
        <v>85</v>
      </c>
      <c r="H239" s="7" t="n">
        <v>8</v>
      </c>
      <c r="I239" s="10" t="n">
        <v>457</v>
      </c>
      <c r="J239" s="10" t="n">
        <v>350</v>
      </c>
      <c r="K239" s="7" t="n">
        <v>0</v>
      </c>
      <c r="L239" s="7" t="s">
        <v>20</v>
      </c>
      <c r="M239" s="10" t="n">
        <v>3656</v>
      </c>
      <c r="N239" s="10" t="n">
        <v>856</v>
      </c>
      <c r="O239" s="14" t="n">
        <f aca="false">N239/M239</f>
        <v>0.234135667396061</v>
      </c>
      <c r="P239" s="15" t="n">
        <f aca="false">YEAR(B239)</f>
        <v>2022</v>
      </c>
      <c r="Q239" s="15" t="str">
        <f aca="false">"Q"&amp;ROUNDUP(MONTH(B239)/3,0)</f>
        <v>Q4</v>
      </c>
      <c r="R239" s="15" t="str">
        <f aca="false">TEXT(B239,"MMM-YYYY")</f>
        <v>Dec-2022</v>
      </c>
    </row>
    <row r="240" customFormat="false" ht="15" hidden="false" customHeight="true" outlineLevel="0" collapsed="false">
      <c r="A240" s="3" t="s">
        <v>336</v>
      </c>
      <c r="B240" s="4" t="n">
        <v>44924</v>
      </c>
      <c r="C240" s="3" t="s">
        <v>28</v>
      </c>
      <c r="D240" s="3" t="s">
        <v>29</v>
      </c>
      <c r="E240" s="3" t="s">
        <v>23</v>
      </c>
      <c r="F240" s="3" t="s">
        <v>90</v>
      </c>
      <c r="G240" s="5" t="s">
        <v>91</v>
      </c>
      <c r="H240" s="3" t="n">
        <v>9</v>
      </c>
      <c r="I240" s="6" t="n">
        <v>765</v>
      </c>
      <c r="J240" s="6" t="n">
        <v>600</v>
      </c>
      <c r="K240" s="3" t="n">
        <v>3</v>
      </c>
      <c r="L240" s="3" t="s">
        <v>20</v>
      </c>
      <c r="M240" s="6" t="n">
        <v>6885</v>
      </c>
      <c r="N240" s="6" t="n">
        <v>1485</v>
      </c>
      <c r="O240" s="12" t="n">
        <f aca="false">N240/M240</f>
        <v>0.215686274509804</v>
      </c>
      <c r="P240" s="13" t="n">
        <f aca="false">YEAR(B240)</f>
        <v>2022</v>
      </c>
      <c r="Q240" s="13" t="str">
        <f aca="false">"Q"&amp;ROUNDUP(MONTH(B240)/3,0)</f>
        <v>Q4</v>
      </c>
      <c r="R240" s="13" t="str">
        <f aca="false">TEXT(B240,"MMM-YYYY")</f>
        <v>Dec-2022</v>
      </c>
    </row>
    <row r="241" customFormat="false" ht="15" hidden="false" customHeight="true" outlineLevel="0" collapsed="false">
      <c r="A241" s="7" t="s">
        <v>337</v>
      </c>
      <c r="B241" s="8" t="n">
        <v>44924</v>
      </c>
      <c r="C241" s="7" t="s">
        <v>47</v>
      </c>
      <c r="D241" s="7" t="s">
        <v>48</v>
      </c>
      <c r="E241" s="7" t="s">
        <v>17</v>
      </c>
      <c r="F241" s="7" t="s">
        <v>59</v>
      </c>
      <c r="G241" s="9" t="s">
        <v>60</v>
      </c>
      <c r="H241" s="7" t="n">
        <v>3</v>
      </c>
      <c r="I241" s="10" t="n">
        <v>387</v>
      </c>
      <c r="J241" s="10" t="n">
        <v>280</v>
      </c>
      <c r="K241" s="7" t="n">
        <v>40</v>
      </c>
      <c r="L241" s="7" t="s">
        <v>20</v>
      </c>
      <c r="M241" s="10" t="n">
        <v>1161</v>
      </c>
      <c r="N241" s="10" t="n">
        <v>321</v>
      </c>
      <c r="O241" s="14" t="n">
        <f aca="false">N241/M241</f>
        <v>0.276485788113695</v>
      </c>
      <c r="P241" s="15" t="n">
        <f aca="false">YEAR(B241)</f>
        <v>2022</v>
      </c>
      <c r="Q241" s="15" t="str">
        <f aca="false">"Q"&amp;ROUNDUP(MONTH(B241)/3,0)</f>
        <v>Q4</v>
      </c>
      <c r="R241" s="15" t="str">
        <f aca="false">TEXT(B241,"MMM-YYYY")</f>
        <v>Dec-2022</v>
      </c>
    </row>
    <row r="242" customFormat="false" ht="15" hidden="false" customHeight="true" outlineLevel="0" collapsed="false">
      <c r="A242" s="3" t="s">
        <v>338</v>
      </c>
      <c r="B242" s="4" t="n">
        <v>44927</v>
      </c>
      <c r="C242" s="3" t="s">
        <v>15</v>
      </c>
      <c r="D242" s="3" t="s">
        <v>16</v>
      </c>
      <c r="E242" s="3" t="s">
        <v>17</v>
      </c>
      <c r="F242" s="3" t="s">
        <v>54</v>
      </c>
      <c r="G242" s="5" t="s">
        <v>55</v>
      </c>
      <c r="H242" s="3" t="n">
        <v>7</v>
      </c>
      <c r="I242" s="6" t="n">
        <v>601</v>
      </c>
      <c r="J242" s="6" t="n">
        <v>450</v>
      </c>
      <c r="K242" s="3" t="n">
        <v>22</v>
      </c>
      <c r="L242" s="3" t="s">
        <v>26</v>
      </c>
      <c r="M242" s="6" t="n">
        <v>4207</v>
      </c>
      <c r="N242" s="6" t="n">
        <v>1057</v>
      </c>
      <c r="O242" s="12" t="n">
        <f aca="false">N242/M242</f>
        <v>0.251247920133112</v>
      </c>
      <c r="P242" s="13" t="n">
        <f aca="false">YEAR(B242)</f>
        <v>2023</v>
      </c>
      <c r="Q242" s="13" t="str">
        <f aca="false">"Q"&amp;ROUNDUP(MONTH(B242)/3,0)</f>
        <v>Q1</v>
      </c>
      <c r="R242" s="13" t="str">
        <f aca="false">TEXT(B242,"MMM-YYYY")</f>
        <v>Jan-2023</v>
      </c>
    </row>
    <row r="243" customFormat="false" ht="15" hidden="false" customHeight="true" outlineLevel="0" collapsed="false">
      <c r="A243" s="7" t="s">
        <v>339</v>
      </c>
      <c r="B243" s="8" t="n">
        <v>44928</v>
      </c>
      <c r="C243" s="7" t="s">
        <v>22</v>
      </c>
      <c r="D243" s="7" t="s">
        <v>16</v>
      </c>
      <c r="E243" s="7" t="s">
        <v>30</v>
      </c>
      <c r="F243" s="7" t="s">
        <v>36</v>
      </c>
      <c r="G243" s="9" t="s">
        <v>37</v>
      </c>
      <c r="H243" s="7" t="n">
        <v>8</v>
      </c>
      <c r="I243" s="10" t="n">
        <v>631</v>
      </c>
      <c r="J243" s="10" t="n">
        <v>450</v>
      </c>
      <c r="K243" s="7" t="n">
        <v>3</v>
      </c>
      <c r="L243" s="7" t="s">
        <v>26</v>
      </c>
      <c r="M243" s="10" t="n">
        <v>5048</v>
      </c>
      <c r="N243" s="10" t="n">
        <v>1448</v>
      </c>
      <c r="O243" s="14" t="n">
        <f aca="false">N243/M243</f>
        <v>0.286846275752773</v>
      </c>
      <c r="P243" s="15" t="n">
        <f aca="false">YEAR(B243)</f>
        <v>2023</v>
      </c>
      <c r="Q243" s="15" t="str">
        <f aca="false">"Q"&amp;ROUNDUP(MONTH(B243)/3,0)</f>
        <v>Q1</v>
      </c>
      <c r="R243" s="15" t="str">
        <f aca="false">TEXT(B243,"MMM-YYYY")</f>
        <v>Jan-2023</v>
      </c>
    </row>
    <row r="244" customFormat="false" ht="15" hidden="false" customHeight="true" outlineLevel="0" collapsed="false">
      <c r="A244" s="3" t="s">
        <v>340</v>
      </c>
      <c r="B244" s="4" t="n">
        <v>44929</v>
      </c>
      <c r="C244" s="3" t="s">
        <v>111</v>
      </c>
      <c r="D244" s="3" t="s">
        <v>29</v>
      </c>
      <c r="E244" s="3" t="s">
        <v>30</v>
      </c>
      <c r="F244" s="3" t="s">
        <v>31</v>
      </c>
      <c r="G244" s="5" t="s">
        <v>32</v>
      </c>
      <c r="H244" s="3" t="n">
        <v>5</v>
      </c>
      <c r="I244" s="6" t="n">
        <v>1709</v>
      </c>
      <c r="J244" s="6" t="n">
        <v>1200</v>
      </c>
      <c r="K244" s="3" t="n">
        <v>35</v>
      </c>
      <c r="L244" s="3" t="s">
        <v>26</v>
      </c>
      <c r="M244" s="6" t="n">
        <v>8545</v>
      </c>
      <c r="N244" s="6" t="n">
        <v>2545</v>
      </c>
      <c r="O244" s="12" t="n">
        <f aca="false">N244/M244</f>
        <v>0.297834991222937</v>
      </c>
      <c r="P244" s="13" t="n">
        <f aca="false">YEAR(B244)</f>
        <v>2023</v>
      </c>
      <c r="Q244" s="13" t="str">
        <f aca="false">"Q"&amp;ROUNDUP(MONTH(B244)/3,0)</f>
        <v>Q1</v>
      </c>
      <c r="R244" s="13" t="str">
        <f aca="false">TEXT(B244,"MMM-YYYY")</f>
        <v>Jan-2023</v>
      </c>
    </row>
    <row r="245" customFormat="false" ht="15" hidden="false" customHeight="true" outlineLevel="0" collapsed="false">
      <c r="A245" s="7" t="s">
        <v>341</v>
      </c>
      <c r="B245" s="8" t="n">
        <v>44929</v>
      </c>
      <c r="C245" s="7" t="s">
        <v>111</v>
      </c>
      <c r="D245" s="7" t="s">
        <v>29</v>
      </c>
      <c r="E245" s="7" t="s">
        <v>30</v>
      </c>
      <c r="F245" s="7" t="s">
        <v>31</v>
      </c>
      <c r="G245" s="9" t="s">
        <v>32</v>
      </c>
      <c r="H245" s="7" t="n">
        <v>13</v>
      </c>
      <c r="I245" s="10" t="n">
        <v>1696</v>
      </c>
      <c r="J245" s="10" t="n">
        <v>1200</v>
      </c>
      <c r="K245" s="7" t="n">
        <v>7</v>
      </c>
      <c r="L245" s="7" t="s">
        <v>26</v>
      </c>
      <c r="M245" s="10" t="n">
        <v>22048</v>
      </c>
      <c r="N245" s="10" t="n">
        <v>6448</v>
      </c>
      <c r="O245" s="14" t="n">
        <f aca="false">N245/M245</f>
        <v>0.292452830188679</v>
      </c>
      <c r="P245" s="15" t="n">
        <f aca="false">YEAR(B245)</f>
        <v>2023</v>
      </c>
      <c r="Q245" s="15" t="str">
        <f aca="false">"Q"&amp;ROUNDUP(MONTH(B245)/3,0)</f>
        <v>Q1</v>
      </c>
      <c r="R245" s="15" t="str">
        <f aca="false">TEXT(B245,"MMM-YYYY")</f>
        <v>Jan-2023</v>
      </c>
    </row>
    <row r="246" customFormat="false" ht="15" hidden="false" customHeight="true" outlineLevel="0" collapsed="false">
      <c r="A246" s="3" t="s">
        <v>342</v>
      </c>
      <c r="B246" s="4" t="n">
        <v>44930</v>
      </c>
      <c r="C246" s="3" t="s">
        <v>94</v>
      </c>
      <c r="D246" s="3" t="s">
        <v>48</v>
      </c>
      <c r="E246" s="3" t="s">
        <v>17</v>
      </c>
      <c r="F246" s="3" t="s">
        <v>59</v>
      </c>
      <c r="G246" s="5" t="s">
        <v>60</v>
      </c>
      <c r="H246" s="3" t="n">
        <v>15</v>
      </c>
      <c r="I246" s="6" t="n">
        <v>392</v>
      </c>
      <c r="J246" s="6" t="n">
        <v>280</v>
      </c>
      <c r="K246" s="3" t="n">
        <v>0</v>
      </c>
      <c r="L246" s="3" t="s">
        <v>20</v>
      </c>
      <c r="M246" s="6" t="n">
        <v>5880</v>
      </c>
      <c r="N246" s="6" t="n">
        <v>1680</v>
      </c>
      <c r="O246" s="12" t="n">
        <f aca="false">N246/M246</f>
        <v>0.285714285714286</v>
      </c>
      <c r="P246" s="13" t="n">
        <f aca="false">YEAR(B246)</f>
        <v>2023</v>
      </c>
      <c r="Q246" s="13" t="str">
        <f aca="false">"Q"&amp;ROUNDUP(MONTH(B246)/3,0)</f>
        <v>Q1</v>
      </c>
      <c r="R246" s="13" t="str">
        <f aca="false">TEXT(B246,"MMM-YYYY")</f>
        <v>Jan-2023</v>
      </c>
    </row>
    <row r="247" customFormat="false" ht="15" hidden="false" customHeight="true" outlineLevel="0" collapsed="false">
      <c r="A247" s="7" t="s">
        <v>343</v>
      </c>
      <c r="B247" s="8" t="n">
        <v>44931</v>
      </c>
      <c r="C247" s="7" t="s">
        <v>28</v>
      </c>
      <c r="D247" s="7" t="s">
        <v>29</v>
      </c>
      <c r="E247" s="7" t="s">
        <v>62</v>
      </c>
      <c r="F247" s="7" t="s">
        <v>84</v>
      </c>
      <c r="G247" s="9" t="s">
        <v>85</v>
      </c>
      <c r="H247" s="7" t="n">
        <v>4</v>
      </c>
      <c r="I247" s="10" t="n">
        <v>453</v>
      </c>
      <c r="J247" s="10" t="n">
        <v>350</v>
      </c>
      <c r="K247" s="7" t="n">
        <v>48</v>
      </c>
      <c r="L247" s="7" t="s">
        <v>26</v>
      </c>
      <c r="M247" s="10" t="n">
        <v>1812</v>
      </c>
      <c r="N247" s="10" t="n">
        <v>412</v>
      </c>
      <c r="O247" s="14" t="n">
        <f aca="false">N247/M247</f>
        <v>0.227373068432671</v>
      </c>
      <c r="P247" s="15" t="n">
        <f aca="false">YEAR(B247)</f>
        <v>2023</v>
      </c>
      <c r="Q247" s="15" t="str">
        <f aca="false">"Q"&amp;ROUNDUP(MONTH(B247)/3,0)</f>
        <v>Q1</v>
      </c>
      <c r="R247" s="15" t="str">
        <f aca="false">TEXT(B247,"MMM-YYYY")</f>
        <v>Jan-2023</v>
      </c>
    </row>
    <row r="248" customFormat="false" ht="15" hidden="false" customHeight="true" outlineLevel="0" collapsed="false">
      <c r="A248" s="3" t="s">
        <v>344</v>
      </c>
      <c r="B248" s="4" t="n">
        <v>44932</v>
      </c>
      <c r="C248" s="3" t="s">
        <v>15</v>
      </c>
      <c r="D248" s="3" t="s">
        <v>16</v>
      </c>
      <c r="E248" s="3" t="s">
        <v>30</v>
      </c>
      <c r="F248" s="3" t="s">
        <v>118</v>
      </c>
      <c r="G248" s="5" t="s">
        <v>119</v>
      </c>
      <c r="H248" s="3" t="n">
        <v>12</v>
      </c>
      <c r="I248" s="6" t="n">
        <v>407</v>
      </c>
      <c r="J248" s="6" t="n">
        <v>280</v>
      </c>
      <c r="K248" s="3" t="n">
        <v>36</v>
      </c>
      <c r="L248" s="3" t="s">
        <v>20</v>
      </c>
      <c r="M248" s="6" t="n">
        <v>4884</v>
      </c>
      <c r="N248" s="6" t="n">
        <v>1524</v>
      </c>
      <c r="O248" s="12" t="n">
        <f aca="false">N248/M248</f>
        <v>0.312039312039312</v>
      </c>
      <c r="P248" s="13" t="n">
        <f aca="false">YEAR(B248)</f>
        <v>2023</v>
      </c>
      <c r="Q248" s="13" t="str">
        <f aca="false">"Q"&amp;ROUNDUP(MONTH(B248)/3,0)</f>
        <v>Q1</v>
      </c>
      <c r="R248" s="13" t="str">
        <f aca="false">TEXT(B248,"MMM-YYYY")</f>
        <v>Jan-2023</v>
      </c>
    </row>
    <row r="249" customFormat="false" ht="15" hidden="false" customHeight="true" outlineLevel="0" collapsed="false">
      <c r="A249" s="7" t="s">
        <v>345</v>
      </c>
      <c r="B249" s="8" t="n">
        <v>44933</v>
      </c>
      <c r="C249" s="7" t="s">
        <v>111</v>
      </c>
      <c r="D249" s="7" t="s">
        <v>29</v>
      </c>
      <c r="E249" s="7" t="s">
        <v>39</v>
      </c>
      <c r="F249" s="7" t="s">
        <v>143</v>
      </c>
      <c r="G249" s="9" t="s">
        <v>144</v>
      </c>
      <c r="H249" s="7" t="n">
        <v>4</v>
      </c>
      <c r="I249" s="10" t="n">
        <v>337</v>
      </c>
      <c r="J249" s="10" t="n">
        <v>280</v>
      </c>
      <c r="K249" s="7" t="n">
        <v>34</v>
      </c>
      <c r="L249" s="7" t="s">
        <v>26</v>
      </c>
      <c r="M249" s="10" t="n">
        <v>1348</v>
      </c>
      <c r="N249" s="10" t="n">
        <v>228</v>
      </c>
      <c r="O249" s="14" t="n">
        <f aca="false">N249/M249</f>
        <v>0.169139465875371</v>
      </c>
      <c r="P249" s="15" t="n">
        <f aca="false">YEAR(B249)</f>
        <v>2023</v>
      </c>
      <c r="Q249" s="15" t="str">
        <f aca="false">"Q"&amp;ROUNDUP(MONTH(B249)/3,0)</f>
        <v>Q1</v>
      </c>
      <c r="R249" s="15" t="str">
        <f aca="false">TEXT(B249,"MMM-YYYY")</f>
        <v>Jan-2023</v>
      </c>
    </row>
    <row r="250" customFormat="false" ht="15" hidden="false" customHeight="true" outlineLevel="0" collapsed="false">
      <c r="A250" s="3" t="s">
        <v>346</v>
      </c>
      <c r="B250" s="4" t="n">
        <v>44933</v>
      </c>
      <c r="C250" s="3" t="s">
        <v>47</v>
      </c>
      <c r="D250" s="3" t="s">
        <v>48</v>
      </c>
      <c r="E250" s="3" t="s">
        <v>77</v>
      </c>
      <c r="F250" s="3" t="s">
        <v>129</v>
      </c>
      <c r="G250" s="5" t="s">
        <v>130</v>
      </c>
      <c r="H250" s="3" t="n">
        <v>11</v>
      </c>
      <c r="I250" s="6" t="n">
        <v>159</v>
      </c>
      <c r="J250" s="6" t="n">
        <v>120</v>
      </c>
      <c r="K250" s="3" t="n">
        <v>38</v>
      </c>
      <c r="L250" s="3" t="s">
        <v>26</v>
      </c>
      <c r="M250" s="6" t="n">
        <v>1749</v>
      </c>
      <c r="N250" s="6" t="n">
        <v>429</v>
      </c>
      <c r="O250" s="12" t="n">
        <f aca="false">N250/M250</f>
        <v>0.245283018867925</v>
      </c>
      <c r="P250" s="13" t="n">
        <f aca="false">YEAR(B250)</f>
        <v>2023</v>
      </c>
      <c r="Q250" s="13" t="str">
        <f aca="false">"Q"&amp;ROUNDUP(MONTH(B250)/3,0)</f>
        <v>Q1</v>
      </c>
      <c r="R250" s="13" t="str">
        <f aca="false">TEXT(B250,"MMM-YYYY")</f>
        <v>Jan-2023</v>
      </c>
    </row>
    <row r="251" customFormat="false" ht="15" hidden="false" customHeight="true" outlineLevel="0" collapsed="false">
      <c r="A251" s="7" t="s">
        <v>347</v>
      </c>
      <c r="B251" s="8" t="n">
        <v>44938</v>
      </c>
      <c r="C251" s="7" t="s">
        <v>58</v>
      </c>
      <c r="D251" s="7" t="s">
        <v>48</v>
      </c>
      <c r="E251" s="7" t="s">
        <v>30</v>
      </c>
      <c r="F251" s="7" t="s">
        <v>118</v>
      </c>
      <c r="G251" s="9" t="s">
        <v>119</v>
      </c>
      <c r="H251" s="7" t="n">
        <v>7</v>
      </c>
      <c r="I251" s="10" t="n">
        <v>389</v>
      </c>
      <c r="J251" s="10" t="n">
        <v>280</v>
      </c>
      <c r="K251" s="7" t="n">
        <v>1</v>
      </c>
      <c r="L251" s="7" t="s">
        <v>26</v>
      </c>
      <c r="M251" s="10" t="n">
        <v>2723</v>
      </c>
      <c r="N251" s="10" t="n">
        <v>763</v>
      </c>
      <c r="O251" s="14" t="n">
        <f aca="false">N251/M251</f>
        <v>0.280205655526992</v>
      </c>
      <c r="P251" s="15" t="n">
        <f aca="false">YEAR(B251)</f>
        <v>2023</v>
      </c>
      <c r="Q251" s="15" t="str">
        <f aca="false">"Q"&amp;ROUNDUP(MONTH(B251)/3,0)</f>
        <v>Q1</v>
      </c>
      <c r="R251" s="15" t="str">
        <f aca="false">TEXT(B251,"MMM-YYYY")</f>
        <v>Jan-2023</v>
      </c>
    </row>
    <row r="252" customFormat="false" ht="15" hidden="false" customHeight="true" outlineLevel="0" collapsed="false">
      <c r="A252" s="3" t="s">
        <v>348</v>
      </c>
      <c r="B252" s="4" t="n">
        <v>44939</v>
      </c>
      <c r="C252" s="3" t="s">
        <v>52</v>
      </c>
      <c r="D252" s="3" t="s">
        <v>29</v>
      </c>
      <c r="E252" s="3" t="s">
        <v>77</v>
      </c>
      <c r="F252" s="3" t="s">
        <v>81</v>
      </c>
      <c r="G252" s="5" t="s">
        <v>82</v>
      </c>
      <c r="H252" s="3" t="n">
        <v>4</v>
      </c>
      <c r="I252" s="6" t="n">
        <v>833</v>
      </c>
      <c r="J252" s="6" t="n">
        <v>600</v>
      </c>
      <c r="K252" s="3" t="n">
        <v>50</v>
      </c>
      <c r="L252" s="3" t="s">
        <v>26</v>
      </c>
      <c r="M252" s="6" t="n">
        <v>3332</v>
      </c>
      <c r="N252" s="6" t="n">
        <v>932</v>
      </c>
      <c r="O252" s="12" t="n">
        <f aca="false">N252/M252</f>
        <v>0.279711884753902</v>
      </c>
      <c r="P252" s="13" t="n">
        <f aca="false">YEAR(B252)</f>
        <v>2023</v>
      </c>
      <c r="Q252" s="13" t="str">
        <f aca="false">"Q"&amp;ROUNDUP(MONTH(B252)/3,0)</f>
        <v>Q1</v>
      </c>
      <c r="R252" s="13" t="str">
        <f aca="false">TEXT(B252,"MMM-YYYY")</f>
        <v>Jan-2023</v>
      </c>
    </row>
    <row r="253" customFormat="false" ht="15" hidden="false" customHeight="true" outlineLevel="0" collapsed="false">
      <c r="A253" s="7" t="s">
        <v>349</v>
      </c>
      <c r="B253" s="8" t="n">
        <v>44939</v>
      </c>
      <c r="C253" s="7" t="s">
        <v>15</v>
      </c>
      <c r="D253" s="7" t="s">
        <v>16</v>
      </c>
      <c r="E253" s="7" t="s">
        <v>39</v>
      </c>
      <c r="F253" s="7" t="s">
        <v>40</v>
      </c>
      <c r="G253" s="9" t="s">
        <v>41</v>
      </c>
      <c r="H253" s="7" t="n">
        <v>13</v>
      </c>
      <c r="I253" s="10" t="n">
        <v>104</v>
      </c>
      <c r="J253" s="10" t="n">
        <v>90</v>
      </c>
      <c r="K253" s="7" t="n">
        <v>45</v>
      </c>
      <c r="L253" s="7" t="s">
        <v>20</v>
      </c>
      <c r="M253" s="10" t="n">
        <v>1352</v>
      </c>
      <c r="N253" s="10" t="n">
        <v>182</v>
      </c>
      <c r="O253" s="14" t="n">
        <f aca="false">N253/M253</f>
        <v>0.134615384615385</v>
      </c>
      <c r="P253" s="15" t="n">
        <f aca="false">YEAR(B253)</f>
        <v>2023</v>
      </c>
      <c r="Q253" s="15" t="str">
        <f aca="false">"Q"&amp;ROUNDUP(MONTH(B253)/3,0)</f>
        <v>Q1</v>
      </c>
      <c r="R253" s="15" t="str">
        <f aca="false">TEXT(B253,"MMM-YYYY")</f>
        <v>Jan-2023</v>
      </c>
    </row>
    <row r="254" customFormat="false" ht="15" hidden="false" customHeight="true" outlineLevel="0" collapsed="false">
      <c r="A254" s="3" t="s">
        <v>350</v>
      </c>
      <c r="B254" s="4" t="n">
        <v>44940</v>
      </c>
      <c r="C254" s="3" t="s">
        <v>15</v>
      </c>
      <c r="D254" s="3" t="s">
        <v>16</v>
      </c>
      <c r="E254" s="3" t="s">
        <v>23</v>
      </c>
      <c r="F254" s="3" t="s">
        <v>49</v>
      </c>
      <c r="G254" s="5" t="s">
        <v>50</v>
      </c>
      <c r="H254" s="3" t="n">
        <v>12</v>
      </c>
      <c r="I254" s="6" t="n">
        <v>22937</v>
      </c>
      <c r="J254" s="6" t="n">
        <v>18000</v>
      </c>
      <c r="K254" s="3" t="n">
        <v>0</v>
      </c>
      <c r="L254" s="3" t="s">
        <v>20</v>
      </c>
      <c r="M254" s="6" t="n">
        <v>275244</v>
      </c>
      <c r="N254" s="6" t="n">
        <v>59244</v>
      </c>
      <c r="O254" s="12" t="n">
        <f aca="false">N254/M254</f>
        <v>0.215241749138946</v>
      </c>
      <c r="P254" s="13" t="n">
        <f aca="false">YEAR(B254)</f>
        <v>2023</v>
      </c>
      <c r="Q254" s="13" t="str">
        <f aca="false">"Q"&amp;ROUNDUP(MONTH(B254)/3,0)</f>
        <v>Q1</v>
      </c>
      <c r="R254" s="13" t="str">
        <f aca="false">TEXT(B254,"MMM-YYYY")</f>
        <v>Jan-2023</v>
      </c>
    </row>
    <row r="255" customFormat="false" ht="15" hidden="false" customHeight="true" outlineLevel="0" collapsed="false">
      <c r="A255" s="7" t="s">
        <v>351</v>
      </c>
      <c r="B255" s="8" t="n">
        <v>44943</v>
      </c>
      <c r="C255" s="7" t="s">
        <v>47</v>
      </c>
      <c r="D255" s="7" t="s">
        <v>48</v>
      </c>
      <c r="E255" s="7" t="s">
        <v>17</v>
      </c>
      <c r="F255" s="7" t="s">
        <v>18</v>
      </c>
      <c r="G255" s="9" t="s">
        <v>19</v>
      </c>
      <c r="H255" s="7" t="n">
        <v>2</v>
      </c>
      <c r="I255" s="10" t="n">
        <v>1208</v>
      </c>
      <c r="J255" s="10" t="n">
        <v>900</v>
      </c>
      <c r="K255" s="7" t="n">
        <v>1</v>
      </c>
      <c r="L255" s="7" t="s">
        <v>26</v>
      </c>
      <c r="M255" s="10" t="n">
        <v>2416</v>
      </c>
      <c r="N255" s="10" t="n">
        <v>616</v>
      </c>
      <c r="O255" s="14" t="n">
        <f aca="false">N255/M255</f>
        <v>0.254966887417219</v>
      </c>
      <c r="P255" s="15" t="n">
        <f aca="false">YEAR(B255)</f>
        <v>2023</v>
      </c>
      <c r="Q255" s="15" t="str">
        <f aca="false">"Q"&amp;ROUNDUP(MONTH(B255)/3,0)</f>
        <v>Q1</v>
      </c>
      <c r="R255" s="15" t="str">
        <f aca="false">TEXT(B255,"MMM-YYYY")</f>
        <v>Jan-2023</v>
      </c>
    </row>
    <row r="256" customFormat="false" ht="15" hidden="false" customHeight="true" outlineLevel="0" collapsed="false">
      <c r="A256" s="3" t="s">
        <v>352</v>
      </c>
      <c r="B256" s="4" t="n">
        <v>44945</v>
      </c>
      <c r="C256" s="3" t="s">
        <v>52</v>
      </c>
      <c r="D256" s="3" t="s">
        <v>29</v>
      </c>
      <c r="E256" s="3" t="s">
        <v>17</v>
      </c>
      <c r="F256" s="3" t="s">
        <v>54</v>
      </c>
      <c r="G256" s="5" t="s">
        <v>55</v>
      </c>
      <c r="H256" s="3" t="n">
        <v>6</v>
      </c>
      <c r="I256" s="6" t="n">
        <v>644</v>
      </c>
      <c r="J256" s="6" t="n">
        <v>450</v>
      </c>
      <c r="K256" s="3" t="n">
        <v>26</v>
      </c>
      <c r="L256" s="3" t="s">
        <v>26</v>
      </c>
      <c r="M256" s="6" t="n">
        <v>3864</v>
      </c>
      <c r="N256" s="6" t="n">
        <v>1164</v>
      </c>
      <c r="O256" s="12" t="n">
        <f aca="false">N256/M256</f>
        <v>0.301242236024845</v>
      </c>
      <c r="P256" s="13" t="n">
        <f aca="false">YEAR(B256)</f>
        <v>2023</v>
      </c>
      <c r="Q256" s="13" t="str">
        <f aca="false">"Q"&amp;ROUNDUP(MONTH(B256)/3,0)</f>
        <v>Q1</v>
      </c>
      <c r="R256" s="13" t="str">
        <f aca="false">TEXT(B256,"MMM-YYYY")</f>
        <v>Jan-2023</v>
      </c>
    </row>
    <row r="257" customFormat="false" ht="15" hidden="false" customHeight="true" outlineLevel="0" collapsed="false">
      <c r="A257" s="7" t="s">
        <v>353</v>
      </c>
      <c r="B257" s="8" t="n">
        <v>44945</v>
      </c>
      <c r="C257" s="7" t="s">
        <v>47</v>
      </c>
      <c r="D257" s="7" t="s">
        <v>48</v>
      </c>
      <c r="E257" s="7" t="s">
        <v>62</v>
      </c>
      <c r="F257" s="7" t="s">
        <v>103</v>
      </c>
      <c r="G257" s="9" t="s">
        <v>104</v>
      </c>
      <c r="H257" s="7" t="n">
        <v>2</v>
      </c>
      <c r="I257" s="10" t="n">
        <v>120</v>
      </c>
      <c r="J257" s="10" t="n">
        <v>90</v>
      </c>
      <c r="K257" s="7" t="n">
        <v>38</v>
      </c>
      <c r="L257" s="7" t="s">
        <v>20</v>
      </c>
      <c r="M257" s="10" t="n">
        <v>240</v>
      </c>
      <c r="N257" s="10" t="n">
        <v>60</v>
      </c>
      <c r="O257" s="14" t="n">
        <f aca="false">N257/M257</f>
        <v>0.25</v>
      </c>
      <c r="P257" s="15" t="n">
        <f aca="false">YEAR(B257)</f>
        <v>2023</v>
      </c>
      <c r="Q257" s="15" t="str">
        <f aca="false">"Q"&amp;ROUNDUP(MONTH(B257)/3,0)</f>
        <v>Q1</v>
      </c>
      <c r="R257" s="15" t="str">
        <f aca="false">TEXT(B257,"MMM-YYYY")</f>
        <v>Jan-2023</v>
      </c>
    </row>
    <row r="258" customFormat="false" ht="15" hidden="false" customHeight="true" outlineLevel="0" collapsed="false">
      <c r="A258" s="3" t="s">
        <v>354</v>
      </c>
      <c r="B258" s="4" t="n">
        <v>44946</v>
      </c>
      <c r="C258" s="3" t="s">
        <v>15</v>
      </c>
      <c r="D258" s="3" t="s">
        <v>16</v>
      </c>
      <c r="E258" s="3" t="s">
        <v>77</v>
      </c>
      <c r="F258" s="3" t="s">
        <v>180</v>
      </c>
      <c r="G258" s="5" t="s">
        <v>181</v>
      </c>
      <c r="H258" s="3" t="n">
        <v>8</v>
      </c>
      <c r="I258" s="6" t="n">
        <v>255</v>
      </c>
      <c r="J258" s="6" t="n">
        <v>180</v>
      </c>
      <c r="K258" s="3" t="n">
        <v>20</v>
      </c>
      <c r="L258" s="3" t="s">
        <v>26</v>
      </c>
      <c r="M258" s="6" t="n">
        <v>2040</v>
      </c>
      <c r="N258" s="6" t="n">
        <v>600</v>
      </c>
      <c r="O258" s="12" t="n">
        <f aca="false">N258/M258</f>
        <v>0.294117647058824</v>
      </c>
      <c r="P258" s="13" t="n">
        <f aca="false">YEAR(B258)</f>
        <v>2023</v>
      </c>
      <c r="Q258" s="13" t="str">
        <f aca="false">"Q"&amp;ROUNDUP(MONTH(B258)/3,0)</f>
        <v>Q1</v>
      </c>
      <c r="R258" s="13" t="str">
        <f aca="false">TEXT(B258,"MMM-YYYY")</f>
        <v>Jan-2023</v>
      </c>
    </row>
    <row r="259" customFormat="false" ht="15" hidden="false" customHeight="true" outlineLevel="0" collapsed="false">
      <c r="A259" s="7" t="s">
        <v>355</v>
      </c>
      <c r="B259" s="8" t="n">
        <v>44949</v>
      </c>
      <c r="C259" s="7" t="s">
        <v>136</v>
      </c>
      <c r="D259" s="7" t="s">
        <v>35</v>
      </c>
      <c r="E259" s="7" t="s">
        <v>62</v>
      </c>
      <c r="F259" s="7" t="s">
        <v>63</v>
      </c>
      <c r="G259" s="9" t="s">
        <v>64</v>
      </c>
      <c r="H259" s="7" t="n">
        <v>12</v>
      </c>
      <c r="I259" s="10" t="n">
        <v>83</v>
      </c>
      <c r="J259" s="10" t="n">
        <v>60</v>
      </c>
      <c r="K259" s="7" t="n">
        <v>4</v>
      </c>
      <c r="L259" s="7" t="s">
        <v>26</v>
      </c>
      <c r="M259" s="10" t="n">
        <v>996</v>
      </c>
      <c r="N259" s="10" t="n">
        <v>276</v>
      </c>
      <c r="O259" s="14" t="n">
        <f aca="false">N259/M259</f>
        <v>0.27710843373494</v>
      </c>
      <c r="P259" s="15" t="n">
        <f aca="false">YEAR(B259)</f>
        <v>2023</v>
      </c>
      <c r="Q259" s="15" t="str">
        <f aca="false">"Q"&amp;ROUNDUP(MONTH(B259)/3,0)</f>
        <v>Q1</v>
      </c>
      <c r="R259" s="15" t="str">
        <f aca="false">TEXT(B259,"MMM-YYYY")</f>
        <v>Jan-2023</v>
      </c>
    </row>
    <row r="260" customFormat="false" ht="15" hidden="false" customHeight="true" outlineLevel="0" collapsed="false">
      <c r="A260" s="3" t="s">
        <v>356</v>
      </c>
      <c r="B260" s="4" t="n">
        <v>44950</v>
      </c>
      <c r="C260" s="3" t="s">
        <v>43</v>
      </c>
      <c r="D260" s="3" t="s">
        <v>16</v>
      </c>
      <c r="E260" s="3" t="s">
        <v>23</v>
      </c>
      <c r="F260" s="3" t="s">
        <v>198</v>
      </c>
      <c r="G260" s="5" t="s">
        <v>199</v>
      </c>
      <c r="H260" s="3" t="n">
        <v>4</v>
      </c>
      <c r="I260" s="6" t="n">
        <v>1085</v>
      </c>
      <c r="J260" s="6" t="n">
        <v>900</v>
      </c>
      <c r="K260" s="3" t="n">
        <v>26</v>
      </c>
      <c r="L260" s="3" t="s">
        <v>26</v>
      </c>
      <c r="M260" s="6" t="n">
        <v>4340</v>
      </c>
      <c r="N260" s="6" t="n">
        <v>740</v>
      </c>
      <c r="O260" s="12" t="n">
        <f aca="false">N260/M260</f>
        <v>0.170506912442396</v>
      </c>
      <c r="P260" s="13" t="n">
        <f aca="false">YEAR(B260)</f>
        <v>2023</v>
      </c>
      <c r="Q260" s="13" t="str">
        <f aca="false">"Q"&amp;ROUNDUP(MONTH(B260)/3,0)</f>
        <v>Q1</v>
      </c>
      <c r="R260" s="13" t="str">
        <f aca="false">TEXT(B260,"MMM-YYYY")</f>
        <v>Jan-2023</v>
      </c>
    </row>
    <row r="261" customFormat="false" ht="15" hidden="false" customHeight="true" outlineLevel="0" collapsed="false">
      <c r="A261" s="7" t="s">
        <v>357</v>
      </c>
      <c r="B261" s="8" t="n">
        <v>44951</v>
      </c>
      <c r="C261" s="7" t="s">
        <v>94</v>
      </c>
      <c r="D261" s="7" t="s">
        <v>48</v>
      </c>
      <c r="E261" s="7" t="s">
        <v>77</v>
      </c>
      <c r="F261" s="7" t="s">
        <v>78</v>
      </c>
      <c r="G261" s="9" t="s">
        <v>79</v>
      </c>
      <c r="H261" s="7" t="n">
        <v>14</v>
      </c>
      <c r="I261" s="10" t="n">
        <v>1261</v>
      </c>
      <c r="J261" s="10" t="n">
        <v>900</v>
      </c>
      <c r="K261" s="7" t="n">
        <v>49</v>
      </c>
      <c r="L261" s="7" t="s">
        <v>26</v>
      </c>
      <c r="M261" s="10" t="n">
        <v>17654</v>
      </c>
      <c r="N261" s="10" t="n">
        <v>5054</v>
      </c>
      <c r="O261" s="14" t="n">
        <f aca="false">N261/M261</f>
        <v>0.286280729579699</v>
      </c>
      <c r="P261" s="15" t="n">
        <f aca="false">YEAR(B261)</f>
        <v>2023</v>
      </c>
      <c r="Q261" s="15" t="str">
        <f aca="false">"Q"&amp;ROUNDUP(MONTH(B261)/3,0)</f>
        <v>Q1</v>
      </c>
      <c r="R261" s="15" t="str">
        <f aca="false">TEXT(B261,"MMM-YYYY")</f>
        <v>Jan-2023</v>
      </c>
    </row>
    <row r="262" customFormat="false" ht="15" hidden="false" customHeight="true" outlineLevel="0" collapsed="false">
      <c r="A262" s="3" t="s">
        <v>358</v>
      </c>
      <c r="B262" s="4" t="n">
        <v>44952</v>
      </c>
      <c r="C262" s="3" t="s">
        <v>28</v>
      </c>
      <c r="D262" s="3" t="s">
        <v>29</v>
      </c>
      <c r="E262" s="3" t="s">
        <v>30</v>
      </c>
      <c r="F262" s="3" t="s">
        <v>31</v>
      </c>
      <c r="G262" s="5" t="s">
        <v>32</v>
      </c>
      <c r="H262" s="3" t="n">
        <v>9</v>
      </c>
      <c r="I262" s="6" t="n">
        <v>1721</v>
      </c>
      <c r="J262" s="6" t="n">
        <v>1200</v>
      </c>
      <c r="K262" s="3" t="n">
        <v>50</v>
      </c>
      <c r="L262" s="3" t="s">
        <v>26</v>
      </c>
      <c r="M262" s="6" t="n">
        <v>15489</v>
      </c>
      <c r="N262" s="6" t="n">
        <v>4689</v>
      </c>
      <c r="O262" s="12" t="n">
        <f aca="false">N262/M262</f>
        <v>0.302730970366066</v>
      </c>
      <c r="P262" s="13" t="n">
        <f aca="false">YEAR(B262)</f>
        <v>2023</v>
      </c>
      <c r="Q262" s="13" t="str">
        <f aca="false">"Q"&amp;ROUNDUP(MONTH(B262)/3,0)</f>
        <v>Q1</v>
      </c>
      <c r="R262" s="13" t="str">
        <f aca="false">TEXT(B262,"MMM-YYYY")</f>
        <v>Jan-2023</v>
      </c>
    </row>
    <row r="263" customFormat="false" ht="15" hidden="false" customHeight="true" outlineLevel="0" collapsed="false">
      <c r="A263" s="7" t="s">
        <v>359</v>
      </c>
      <c r="B263" s="8" t="n">
        <v>44953</v>
      </c>
      <c r="C263" s="7" t="s">
        <v>52</v>
      </c>
      <c r="D263" s="7" t="s">
        <v>29</v>
      </c>
      <c r="E263" s="7" t="s">
        <v>30</v>
      </c>
      <c r="F263" s="7" t="s">
        <v>87</v>
      </c>
      <c r="G263" s="9" t="s">
        <v>88</v>
      </c>
      <c r="H263" s="7" t="n">
        <v>10</v>
      </c>
      <c r="I263" s="10" t="n">
        <v>1033</v>
      </c>
      <c r="J263" s="10" t="n">
        <v>700</v>
      </c>
      <c r="K263" s="7" t="n">
        <v>35</v>
      </c>
      <c r="L263" s="7" t="s">
        <v>20</v>
      </c>
      <c r="M263" s="10" t="n">
        <v>10330</v>
      </c>
      <c r="N263" s="10" t="n">
        <v>3330</v>
      </c>
      <c r="O263" s="14" t="n">
        <f aca="false">N263/M263</f>
        <v>0.322362052274927</v>
      </c>
      <c r="P263" s="15" t="n">
        <f aca="false">YEAR(B263)</f>
        <v>2023</v>
      </c>
      <c r="Q263" s="15" t="str">
        <f aca="false">"Q"&amp;ROUNDUP(MONTH(B263)/3,0)</f>
        <v>Q1</v>
      </c>
      <c r="R263" s="15" t="str">
        <f aca="false">TEXT(B263,"MMM-YYYY")</f>
        <v>Jan-2023</v>
      </c>
    </row>
    <row r="264" customFormat="false" ht="15" hidden="false" customHeight="true" outlineLevel="0" collapsed="false">
      <c r="A264" s="3" t="s">
        <v>360</v>
      </c>
      <c r="B264" s="4" t="n">
        <v>44954</v>
      </c>
      <c r="C264" s="3" t="s">
        <v>58</v>
      </c>
      <c r="D264" s="3" t="s">
        <v>48</v>
      </c>
      <c r="E264" s="3" t="s">
        <v>39</v>
      </c>
      <c r="F264" s="3" t="s">
        <v>220</v>
      </c>
      <c r="G264" s="5" t="s">
        <v>221</v>
      </c>
      <c r="H264" s="3" t="n">
        <v>8</v>
      </c>
      <c r="I264" s="6" t="n">
        <v>220</v>
      </c>
      <c r="J264" s="6" t="n">
        <v>180</v>
      </c>
      <c r="K264" s="3" t="n">
        <v>35</v>
      </c>
      <c r="L264" s="3" t="s">
        <v>26</v>
      </c>
      <c r="M264" s="6" t="n">
        <v>1760</v>
      </c>
      <c r="N264" s="6" t="n">
        <v>320</v>
      </c>
      <c r="O264" s="12" t="n">
        <f aca="false">N264/M264</f>
        <v>0.181818181818182</v>
      </c>
      <c r="P264" s="13" t="n">
        <f aca="false">YEAR(B264)</f>
        <v>2023</v>
      </c>
      <c r="Q264" s="13" t="str">
        <f aca="false">"Q"&amp;ROUNDUP(MONTH(B264)/3,0)</f>
        <v>Q1</v>
      </c>
      <c r="R264" s="13" t="str">
        <f aca="false">TEXT(B264,"MMM-YYYY")</f>
        <v>Jan-2023</v>
      </c>
    </row>
    <row r="265" customFormat="false" ht="15" hidden="false" customHeight="true" outlineLevel="0" collapsed="false">
      <c r="A265" s="7" t="s">
        <v>361</v>
      </c>
      <c r="B265" s="8" t="n">
        <v>44954</v>
      </c>
      <c r="C265" s="7" t="s">
        <v>28</v>
      </c>
      <c r="D265" s="7" t="s">
        <v>29</v>
      </c>
      <c r="E265" s="7" t="s">
        <v>23</v>
      </c>
      <c r="F265" s="7" t="s">
        <v>49</v>
      </c>
      <c r="G265" s="9" t="s">
        <v>50</v>
      </c>
      <c r="H265" s="7" t="n">
        <v>1</v>
      </c>
      <c r="I265" s="10" t="n">
        <v>22748</v>
      </c>
      <c r="J265" s="10" t="n">
        <v>18000</v>
      </c>
      <c r="K265" s="7" t="n">
        <v>8</v>
      </c>
      <c r="L265" s="7" t="s">
        <v>26</v>
      </c>
      <c r="M265" s="10" t="n">
        <v>22748</v>
      </c>
      <c r="N265" s="10" t="n">
        <v>4748</v>
      </c>
      <c r="O265" s="14" t="n">
        <f aca="false">N265/M265</f>
        <v>0.208721645858977</v>
      </c>
      <c r="P265" s="15" t="n">
        <f aca="false">YEAR(B265)</f>
        <v>2023</v>
      </c>
      <c r="Q265" s="15" t="str">
        <f aca="false">"Q"&amp;ROUNDUP(MONTH(B265)/3,0)</f>
        <v>Q1</v>
      </c>
      <c r="R265" s="15" t="str">
        <f aca="false">TEXT(B265,"MMM-YYYY")</f>
        <v>Jan-2023</v>
      </c>
    </row>
    <row r="266" customFormat="false" ht="15" hidden="false" customHeight="true" outlineLevel="0" collapsed="false">
      <c r="A266" s="3" t="s">
        <v>362</v>
      </c>
      <c r="B266" s="4" t="n">
        <v>44954</v>
      </c>
      <c r="C266" s="3" t="s">
        <v>47</v>
      </c>
      <c r="D266" s="3" t="s">
        <v>48</v>
      </c>
      <c r="E266" s="3" t="s">
        <v>39</v>
      </c>
      <c r="F266" s="3" t="s">
        <v>220</v>
      </c>
      <c r="G266" s="5" t="s">
        <v>221</v>
      </c>
      <c r="H266" s="3" t="n">
        <v>9</v>
      </c>
      <c r="I266" s="6" t="n">
        <v>211</v>
      </c>
      <c r="J266" s="6" t="n">
        <v>180</v>
      </c>
      <c r="K266" s="3" t="n">
        <v>4</v>
      </c>
      <c r="L266" s="3" t="s">
        <v>26</v>
      </c>
      <c r="M266" s="6" t="n">
        <v>1899</v>
      </c>
      <c r="N266" s="6" t="n">
        <v>279</v>
      </c>
      <c r="O266" s="12" t="n">
        <f aca="false">N266/M266</f>
        <v>0.146919431279621</v>
      </c>
      <c r="P266" s="13" t="n">
        <f aca="false">YEAR(B266)</f>
        <v>2023</v>
      </c>
      <c r="Q266" s="13" t="str">
        <f aca="false">"Q"&amp;ROUNDUP(MONTH(B266)/3,0)</f>
        <v>Q1</v>
      </c>
      <c r="R266" s="13" t="str">
        <f aca="false">TEXT(B266,"MMM-YYYY")</f>
        <v>Jan-2023</v>
      </c>
    </row>
    <row r="267" customFormat="false" ht="15" hidden="false" customHeight="true" outlineLevel="0" collapsed="false">
      <c r="A267" s="7" t="s">
        <v>363</v>
      </c>
      <c r="B267" s="8" t="n">
        <v>44954</v>
      </c>
      <c r="C267" s="7" t="s">
        <v>47</v>
      </c>
      <c r="D267" s="7" t="s">
        <v>48</v>
      </c>
      <c r="E267" s="7" t="s">
        <v>77</v>
      </c>
      <c r="F267" s="7" t="s">
        <v>152</v>
      </c>
      <c r="G267" s="9" t="s">
        <v>153</v>
      </c>
      <c r="H267" s="7" t="n">
        <v>15</v>
      </c>
      <c r="I267" s="10" t="n">
        <v>470</v>
      </c>
      <c r="J267" s="10" t="n">
        <v>350</v>
      </c>
      <c r="K267" s="7" t="n">
        <v>3</v>
      </c>
      <c r="L267" s="7" t="s">
        <v>20</v>
      </c>
      <c r="M267" s="10" t="n">
        <v>7050</v>
      </c>
      <c r="N267" s="10" t="n">
        <v>1800</v>
      </c>
      <c r="O267" s="14" t="n">
        <f aca="false">N267/M267</f>
        <v>0.25531914893617</v>
      </c>
      <c r="P267" s="15" t="n">
        <f aca="false">YEAR(B267)</f>
        <v>2023</v>
      </c>
      <c r="Q267" s="15" t="str">
        <f aca="false">"Q"&amp;ROUNDUP(MONTH(B267)/3,0)</f>
        <v>Q1</v>
      </c>
      <c r="R267" s="15" t="str">
        <f aca="false">TEXT(B267,"MMM-YYYY")</f>
        <v>Jan-2023</v>
      </c>
    </row>
    <row r="268" customFormat="false" ht="15" hidden="false" customHeight="true" outlineLevel="0" collapsed="false">
      <c r="A268" s="3" t="s">
        <v>364</v>
      </c>
      <c r="B268" s="4" t="n">
        <v>44957</v>
      </c>
      <c r="C268" s="3" t="s">
        <v>136</v>
      </c>
      <c r="D268" s="3" t="s">
        <v>35</v>
      </c>
      <c r="E268" s="3" t="s">
        <v>39</v>
      </c>
      <c r="F268" s="3" t="s">
        <v>143</v>
      </c>
      <c r="G268" s="5" t="s">
        <v>144</v>
      </c>
      <c r="H268" s="3" t="n">
        <v>7</v>
      </c>
      <c r="I268" s="6" t="n">
        <v>340</v>
      </c>
      <c r="J268" s="6" t="n">
        <v>280</v>
      </c>
      <c r="K268" s="3" t="n">
        <v>34</v>
      </c>
      <c r="L268" s="3" t="s">
        <v>26</v>
      </c>
      <c r="M268" s="6" t="n">
        <v>2380</v>
      </c>
      <c r="N268" s="6" t="n">
        <v>420</v>
      </c>
      <c r="O268" s="12" t="n">
        <f aca="false">N268/M268</f>
        <v>0.176470588235294</v>
      </c>
      <c r="P268" s="13" t="n">
        <f aca="false">YEAR(B268)</f>
        <v>2023</v>
      </c>
      <c r="Q268" s="13" t="str">
        <f aca="false">"Q"&amp;ROUNDUP(MONTH(B268)/3,0)</f>
        <v>Q1</v>
      </c>
      <c r="R268" s="13" t="str">
        <f aca="false">TEXT(B268,"MMM-YYYY")</f>
        <v>Jan-2023</v>
      </c>
    </row>
    <row r="269" customFormat="false" ht="15" hidden="false" customHeight="true" outlineLevel="0" collapsed="false">
      <c r="A269" s="7" t="s">
        <v>365</v>
      </c>
      <c r="B269" s="8" t="n">
        <v>44960</v>
      </c>
      <c r="C269" s="7" t="s">
        <v>58</v>
      </c>
      <c r="D269" s="7" t="s">
        <v>48</v>
      </c>
      <c r="E269" s="7" t="s">
        <v>17</v>
      </c>
      <c r="F269" s="7" t="s">
        <v>18</v>
      </c>
      <c r="G269" s="9" t="s">
        <v>19</v>
      </c>
      <c r="H269" s="7" t="n">
        <v>10</v>
      </c>
      <c r="I269" s="10" t="n">
        <v>1235</v>
      </c>
      <c r="J269" s="10" t="n">
        <v>900</v>
      </c>
      <c r="K269" s="7" t="n">
        <v>42</v>
      </c>
      <c r="L269" s="7" t="s">
        <v>20</v>
      </c>
      <c r="M269" s="10" t="n">
        <v>12350</v>
      </c>
      <c r="N269" s="10" t="n">
        <v>3350</v>
      </c>
      <c r="O269" s="14" t="n">
        <f aca="false">N269/M269</f>
        <v>0.271255060728745</v>
      </c>
      <c r="P269" s="15" t="n">
        <f aca="false">YEAR(B269)</f>
        <v>2023</v>
      </c>
      <c r="Q269" s="15" t="str">
        <f aca="false">"Q"&amp;ROUNDUP(MONTH(B269)/3,0)</f>
        <v>Q1</v>
      </c>
      <c r="R269" s="15" t="str">
        <f aca="false">TEXT(B269,"MMM-YYYY")</f>
        <v>Feb-2023</v>
      </c>
    </row>
    <row r="270" customFormat="false" ht="15" hidden="false" customHeight="true" outlineLevel="0" collapsed="false">
      <c r="A270" s="3" t="s">
        <v>366</v>
      </c>
      <c r="B270" s="4" t="n">
        <v>44962</v>
      </c>
      <c r="C270" s="3" t="s">
        <v>28</v>
      </c>
      <c r="D270" s="3" t="s">
        <v>29</v>
      </c>
      <c r="E270" s="3" t="s">
        <v>77</v>
      </c>
      <c r="F270" s="3" t="s">
        <v>129</v>
      </c>
      <c r="G270" s="5" t="s">
        <v>130</v>
      </c>
      <c r="H270" s="3" t="n">
        <v>12</v>
      </c>
      <c r="I270" s="6" t="n">
        <v>167</v>
      </c>
      <c r="J270" s="6" t="n">
        <v>120</v>
      </c>
      <c r="K270" s="3" t="n">
        <v>20</v>
      </c>
      <c r="L270" s="3" t="s">
        <v>26</v>
      </c>
      <c r="M270" s="6" t="n">
        <v>2004</v>
      </c>
      <c r="N270" s="6" t="n">
        <v>564</v>
      </c>
      <c r="O270" s="12" t="n">
        <f aca="false">N270/M270</f>
        <v>0.281437125748503</v>
      </c>
      <c r="P270" s="13" t="n">
        <f aca="false">YEAR(B270)</f>
        <v>2023</v>
      </c>
      <c r="Q270" s="13" t="str">
        <f aca="false">"Q"&amp;ROUNDUP(MONTH(B270)/3,0)</f>
        <v>Q1</v>
      </c>
      <c r="R270" s="13" t="str">
        <f aca="false">TEXT(B270,"MMM-YYYY")</f>
        <v>Feb-2023</v>
      </c>
    </row>
    <row r="271" customFormat="false" ht="15" hidden="false" customHeight="true" outlineLevel="0" collapsed="false">
      <c r="A271" s="7" t="s">
        <v>367</v>
      </c>
      <c r="B271" s="8" t="n">
        <v>44962</v>
      </c>
      <c r="C271" s="7" t="s">
        <v>43</v>
      </c>
      <c r="D271" s="7" t="s">
        <v>16</v>
      </c>
      <c r="E271" s="7" t="s">
        <v>39</v>
      </c>
      <c r="F271" s="7" t="s">
        <v>143</v>
      </c>
      <c r="G271" s="9" t="s">
        <v>144</v>
      </c>
      <c r="H271" s="7" t="n">
        <v>9</v>
      </c>
      <c r="I271" s="10" t="n">
        <v>324</v>
      </c>
      <c r="J271" s="10" t="n">
        <v>280</v>
      </c>
      <c r="K271" s="7" t="n">
        <v>15</v>
      </c>
      <c r="L271" s="7" t="s">
        <v>20</v>
      </c>
      <c r="M271" s="10" t="n">
        <v>2916</v>
      </c>
      <c r="N271" s="10" t="n">
        <v>396</v>
      </c>
      <c r="O271" s="14" t="n">
        <f aca="false">N271/M271</f>
        <v>0.135802469135802</v>
      </c>
      <c r="P271" s="15" t="n">
        <f aca="false">YEAR(B271)</f>
        <v>2023</v>
      </c>
      <c r="Q271" s="15" t="str">
        <f aca="false">"Q"&amp;ROUNDUP(MONTH(B271)/3,0)</f>
        <v>Q1</v>
      </c>
      <c r="R271" s="15" t="str">
        <f aca="false">TEXT(B271,"MMM-YYYY")</f>
        <v>Feb-2023</v>
      </c>
    </row>
    <row r="272" customFormat="false" ht="15" hidden="false" customHeight="true" outlineLevel="0" collapsed="false">
      <c r="A272" s="3" t="s">
        <v>368</v>
      </c>
      <c r="B272" s="4" t="n">
        <v>44962</v>
      </c>
      <c r="C272" s="3" t="s">
        <v>111</v>
      </c>
      <c r="D272" s="3" t="s">
        <v>29</v>
      </c>
      <c r="E272" s="3" t="s">
        <v>39</v>
      </c>
      <c r="F272" s="3" t="s">
        <v>161</v>
      </c>
      <c r="G272" s="5" t="s">
        <v>162</v>
      </c>
      <c r="H272" s="3" t="n">
        <v>12</v>
      </c>
      <c r="I272" s="6" t="n">
        <v>398</v>
      </c>
      <c r="J272" s="6" t="n">
        <v>350</v>
      </c>
      <c r="K272" s="3" t="n">
        <v>50</v>
      </c>
      <c r="L272" s="3" t="s">
        <v>20</v>
      </c>
      <c r="M272" s="6" t="n">
        <v>4776</v>
      </c>
      <c r="N272" s="6" t="n">
        <v>576</v>
      </c>
      <c r="O272" s="12" t="n">
        <f aca="false">N272/M272</f>
        <v>0.120603015075377</v>
      </c>
      <c r="P272" s="13" t="n">
        <f aca="false">YEAR(B272)</f>
        <v>2023</v>
      </c>
      <c r="Q272" s="13" t="str">
        <f aca="false">"Q"&amp;ROUNDUP(MONTH(B272)/3,0)</f>
        <v>Q1</v>
      </c>
      <c r="R272" s="13" t="str">
        <f aca="false">TEXT(B272,"MMM-YYYY")</f>
        <v>Feb-2023</v>
      </c>
    </row>
    <row r="273" customFormat="false" ht="15" hidden="false" customHeight="true" outlineLevel="0" collapsed="false">
      <c r="A273" s="7" t="s">
        <v>369</v>
      </c>
      <c r="B273" s="8" t="n">
        <v>44963</v>
      </c>
      <c r="C273" s="7" t="s">
        <v>22</v>
      </c>
      <c r="D273" s="7" t="s">
        <v>16</v>
      </c>
      <c r="E273" s="7" t="s">
        <v>39</v>
      </c>
      <c r="F273" s="7" t="s">
        <v>220</v>
      </c>
      <c r="G273" s="9" t="s">
        <v>221</v>
      </c>
      <c r="H273" s="7" t="n">
        <v>11</v>
      </c>
      <c r="I273" s="10" t="n">
        <v>213</v>
      </c>
      <c r="J273" s="10" t="n">
        <v>180</v>
      </c>
      <c r="K273" s="7" t="n">
        <v>44</v>
      </c>
      <c r="L273" s="7" t="s">
        <v>20</v>
      </c>
      <c r="M273" s="10" t="n">
        <v>2343</v>
      </c>
      <c r="N273" s="10" t="n">
        <v>363</v>
      </c>
      <c r="O273" s="14" t="n">
        <f aca="false">N273/M273</f>
        <v>0.154929577464789</v>
      </c>
      <c r="P273" s="15" t="n">
        <f aca="false">YEAR(B273)</f>
        <v>2023</v>
      </c>
      <c r="Q273" s="15" t="str">
        <f aca="false">"Q"&amp;ROUNDUP(MONTH(B273)/3,0)</f>
        <v>Q1</v>
      </c>
      <c r="R273" s="15" t="str">
        <f aca="false">TEXT(B273,"MMM-YYYY")</f>
        <v>Feb-2023</v>
      </c>
    </row>
    <row r="274" customFormat="false" ht="15" hidden="false" customHeight="true" outlineLevel="0" collapsed="false">
      <c r="A274" s="3" t="s">
        <v>370</v>
      </c>
      <c r="B274" s="4" t="n">
        <v>44964</v>
      </c>
      <c r="C274" s="3" t="s">
        <v>58</v>
      </c>
      <c r="D274" s="3" t="s">
        <v>48</v>
      </c>
      <c r="E274" s="3" t="s">
        <v>77</v>
      </c>
      <c r="F274" s="3" t="s">
        <v>78</v>
      </c>
      <c r="G274" s="5" t="s">
        <v>79</v>
      </c>
      <c r="H274" s="3" t="n">
        <v>10</v>
      </c>
      <c r="I274" s="6" t="n">
        <v>1193</v>
      </c>
      <c r="J274" s="6" t="n">
        <v>900</v>
      </c>
      <c r="K274" s="3" t="n">
        <v>2</v>
      </c>
      <c r="L274" s="3" t="s">
        <v>26</v>
      </c>
      <c r="M274" s="6" t="n">
        <v>11930</v>
      </c>
      <c r="N274" s="6" t="n">
        <v>2930</v>
      </c>
      <c r="O274" s="12" t="n">
        <f aca="false">N274/M274</f>
        <v>0.245599329421626</v>
      </c>
      <c r="P274" s="13" t="n">
        <f aca="false">YEAR(B274)</f>
        <v>2023</v>
      </c>
      <c r="Q274" s="13" t="str">
        <f aca="false">"Q"&amp;ROUNDUP(MONTH(B274)/3,0)</f>
        <v>Q1</v>
      </c>
      <c r="R274" s="13" t="str">
        <f aca="false">TEXT(B274,"MMM-YYYY")</f>
        <v>Feb-2023</v>
      </c>
    </row>
    <row r="275" customFormat="false" ht="15" hidden="false" customHeight="true" outlineLevel="0" collapsed="false">
      <c r="A275" s="7" t="s">
        <v>371</v>
      </c>
      <c r="B275" s="8" t="n">
        <v>44966</v>
      </c>
      <c r="C275" s="7" t="s">
        <v>47</v>
      </c>
      <c r="D275" s="7" t="s">
        <v>48</v>
      </c>
      <c r="E275" s="7" t="s">
        <v>77</v>
      </c>
      <c r="F275" s="7" t="s">
        <v>78</v>
      </c>
      <c r="G275" s="9" t="s">
        <v>79</v>
      </c>
      <c r="H275" s="7" t="n">
        <v>13</v>
      </c>
      <c r="I275" s="10" t="n">
        <v>1300</v>
      </c>
      <c r="J275" s="10" t="n">
        <v>900</v>
      </c>
      <c r="K275" s="7" t="n">
        <v>5</v>
      </c>
      <c r="L275" s="7" t="s">
        <v>26</v>
      </c>
      <c r="M275" s="10" t="n">
        <v>16900</v>
      </c>
      <c r="N275" s="10" t="n">
        <v>5200</v>
      </c>
      <c r="O275" s="14" t="n">
        <f aca="false">N275/M275</f>
        <v>0.307692307692308</v>
      </c>
      <c r="P275" s="15" t="n">
        <f aca="false">YEAR(B275)</f>
        <v>2023</v>
      </c>
      <c r="Q275" s="15" t="str">
        <f aca="false">"Q"&amp;ROUNDUP(MONTH(B275)/3,0)</f>
        <v>Q1</v>
      </c>
      <c r="R275" s="15" t="str">
        <f aca="false">TEXT(B275,"MMM-YYYY")</f>
        <v>Feb-2023</v>
      </c>
    </row>
    <row r="276" customFormat="false" ht="15" hidden="false" customHeight="true" outlineLevel="0" collapsed="false">
      <c r="A276" s="3" t="s">
        <v>372</v>
      </c>
      <c r="B276" s="4" t="n">
        <v>44967</v>
      </c>
      <c r="C276" s="3" t="s">
        <v>47</v>
      </c>
      <c r="D276" s="3" t="s">
        <v>48</v>
      </c>
      <c r="E276" s="3" t="s">
        <v>17</v>
      </c>
      <c r="F276" s="3" t="s">
        <v>59</v>
      </c>
      <c r="G276" s="5" t="s">
        <v>60</v>
      </c>
      <c r="H276" s="3" t="n">
        <v>8</v>
      </c>
      <c r="I276" s="6" t="n">
        <v>397</v>
      </c>
      <c r="J276" s="6" t="n">
        <v>280</v>
      </c>
      <c r="K276" s="3" t="n">
        <v>14</v>
      </c>
      <c r="L276" s="3" t="s">
        <v>26</v>
      </c>
      <c r="M276" s="6" t="n">
        <v>3176</v>
      </c>
      <c r="N276" s="6" t="n">
        <v>936</v>
      </c>
      <c r="O276" s="12" t="n">
        <f aca="false">N276/M276</f>
        <v>0.294710327455919</v>
      </c>
      <c r="P276" s="13" t="n">
        <f aca="false">YEAR(B276)</f>
        <v>2023</v>
      </c>
      <c r="Q276" s="13" t="str">
        <f aca="false">"Q"&amp;ROUNDUP(MONTH(B276)/3,0)</f>
        <v>Q1</v>
      </c>
      <c r="R276" s="13" t="str">
        <f aca="false">TEXT(B276,"MMM-YYYY")</f>
        <v>Feb-2023</v>
      </c>
    </row>
    <row r="277" customFormat="false" ht="15" hidden="false" customHeight="true" outlineLevel="0" collapsed="false">
      <c r="A277" s="7" t="s">
        <v>373</v>
      </c>
      <c r="B277" s="8" t="n">
        <v>44968</v>
      </c>
      <c r="C277" s="7" t="s">
        <v>22</v>
      </c>
      <c r="D277" s="7" t="s">
        <v>16</v>
      </c>
      <c r="E277" s="7" t="s">
        <v>17</v>
      </c>
      <c r="F277" s="7" t="s">
        <v>44</v>
      </c>
      <c r="G277" s="9" t="s">
        <v>45</v>
      </c>
      <c r="H277" s="7" t="n">
        <v>6</v>
      </c>
      <c r="I277" s="10" t="n">
        <v>362</v>
      </c>
      <c r="J277" s="10" t="n">
        <v>250</v>
      </c>
      <c r="K277" s="7" t="n">
        <v>45</v>
      </c>
      <c r="L277" s="7" t="s">
        <v>26</v>
      </c>
      <c r="M277" s="10" t="n">
        <v>2172</v>
      </c>
      <c r="N277" s="10" t="n">
        <v>672</v>
      </c>
      <c r="O277" s="14" t="n">
        <f aca="false">N277/M277</f>
        <v>0.30939226519337</v>
      </c>
      <c r="P277" s="15" t="n">
        <f aca="false">YEAR(B277)</f>
        <v>2023</v>
      </c>
      <c r="Q277" s="15" t="str">
        <f aca="false">"Q"&amp;ROUNDUP(MONTH(B277)/3,0)</f>
        <v>Q1</v>
      </c>
      <c r="R277" s="15" t="str">
        <f aca="false">TEXT(B277,"MMM-YYYY")</f>
        <v>Feb-2023</v>
      </c>
    </row>
    <row r="278" customFormat="false" ht="15" hidden="false" customHeight="true" outlineLevel="0" collapsed="false">
      <c r="A278" s="3" t="s">
        <v>374</v>
      </c>
      <c r="B278" s="4" t="n">
        <v>44968</v>
      </c>
      <c r="C278" s="3" t="s">
        <v>94</v>
      </c>
      <c r="D278" s="3" t="s">
        <v>48</v>
      </c>
      <c r="E278" s="3" t="s">
        <v>39</v>
      </c>
      <c r="F278" s="3" t="s">
        <v>161</v>
      </c>
      <c r="G278" s="5" t="s">
        <v>162</v>
      </c>
      <c r="H278" s="3" t="n">
        <v>15</v>
      </c>
      <c r="I278" s="6" t="n">
        <v>430</v>
      </c>
      <c r="J278" s="6" t="n">
        <v>350</v>
      </c>
      <c r="K278" s="3" t="n">
        <v>11</v>
      </c>
      <c r="L278" s="3" t="s">
        <v>20</v>
      </c>
      <c r="M278" s="6" t="n">
        <v>6450</v>
      </c>
      <c r="N278" s="6" t="n">
        <v>1200</v>
      </c>
      <c r="O278" s="12" t="n">
        <f aca="false">N278/M278</f>
        <v>0.186046511627907</v>
      </c>
      <c r="P278" s="13" t="n">
        <f aca="false">YEAR(B278)</f>
        <v>2023</v>
      </c>
      <c r="Q278" s="13" t="str">
        <f aca="false">"Q"&amp;ROUNDUP(MONTH(B278)/3,0)</f>
        <v>Q1</v>
      </c>
      <c r="R278" s="13" t="str">
        <f aca="false">TEXT(B278,"MMM-YYYY")</f>
        <v>Feb-2023</v>
      </c>
    </row>
    <row r="279" customFormat="false" ht="15" hidden="false" customHeight="true" outlineLevel="0" collapsed="false">
      <c r="A279" s="7" t="s">
        <v>375</v>
      </c>
      <c r="B279" s="8" t="n">
        <v>44969</v>
      </c>
      <c r="C279" s="7" t="s">
        <v>15</v>
      </c>
      <c r="D279" s="7" t="s">
        <v>16</v>
      </c>
      <c r="E279" s="7" t="s">
        <v>77</v>
      </c>
      <c r="F279" s="7" t="s">
        <v>81</v>
      </c>
      <c r="G279" s="9" t="s">
        <v>82</v>
      </c>
      <c r="H279" s="7" t="n">
        <v>8</v>
      </c>
      <c r="I279" s="10" t="n">
        <v>847</v>
      </c>
      <c r="J279" s="10" t="n">
        <v>600</v>
      </c>
      <c r="K279" s="7" t="n">
        <v>10</v>
      </c>
      <c r="L279" s="7" t="s">
        <v>26</v>
      </c>
      <c r="M279" s="10" t="n">
        <v>6776</v>
      </c>
      <c r="N279" s="10" t="n">
        <v>1976</v>
      </c>
      <c r="O279" s="14" t="n">
        <f aca="false">N279/M279</f>
        <v>0.291617473435655</v>
      </c>
      <c r="P279" s="15" t="n">
        <f aca="false">YEAR(B279)</f>
        <v>2023</v>
      </c>
      <c r="Q279" s="15" t="str">
        <f aca="false">"Q"&amp;ROUNDUP(MONTH(B279)/3,0)</f>
        <v>Q1</v>
      </c>
      <c r="R279" s="15" t="str">
        <f aca="false">TEXT(B279,"MMM-YYYY")</f>
        <v>Feb-2023</v>
      </c>
    </row>
    <row r="280" customFormat="false" ht="15" hidden="false" customHeight="true" outlineLevel="0" collapsed="false">
      <c r="A280" s="3" t="s">
        <v>376</v>
      </c>
      <c r="B280" s="4" t="n">
        <v>44969</v>
      </c>
      <c r="C280" s="3" t="s">
        <v>22</v>
      </c>
      <c r="D280" s="3" t="s">
        <v>16</v>
      </c>
      <c r="E280" s="3" t="s">
        <v>23</v>
      </c>
      <c r="F280" s="3" t="s">
        <v>90</v>
      </c>
      <c r="G280" s="5" t="s">
        <v>91</v>
      </c>
      <c r="H280" s="3" t="n">
        <v>5</v>
      </c>
      <c r="I280" s="6" t="n">
        <v>700</v>
      </c>
      <c r="J280" s="6" t="n">
        <v>600</v>
      </c>
      <c r="K280" s="3" t="n">
        <v>8</v>
      </c>
      <c r="L280" s="3" t="s">
        <v>20</v>
      </c>
      <c r="M280" s="6" t="n">
        <v>3500</v>
      </c>
      <c r="N280" s="6" t="n">
        <v>500</v>
      </c>
      <c r="O280" s="12" t="n">
        <f aca="false">N280/M280</f>
        <v>0.142857142857143</v>
      </c>
      <c r="P280" s="13" t="n">
        <f aca="false">YEAR(B280)</f>
        <v>2023</v>
      </c>
      <c r="Q280" s="13" t="str">
        <f aca="false">"Q"&amp;ROUNDUP(MONTH(B280)/3,0)</f>
        <v>Q1</v>
      </c>
      <c r="R280" s="13" t="str">
        <f aca="false">TEXT(B280,"MMM-YYYY")</f>
        <v>Feb-2023</v>
      </c>
    </row>
    <row r="281" customFormat="false" ht="15" hidden="false" customHeight="true" outlineLevel="0" collapsed="false">
      <c r="A281" s="7" t="s">
        <v>377</v>
      </c>
      <c r="B281" s="8" t="n">
        <v>44972</v>
      </c>
      <c r="C281" s="7" t="s">
        <v>47</v>
      </c>
      <c r="D281" s="7" t="s">
        <v>48</v>
      </c>
      <c r="E281" s="7" t="s">
        <v>23</v>
      </c>
      <c r="F281" s="7" t="s">
        <v>204</v>
      </c>
      <c r="G281" s="9" t="s">
        <v>205</v>
      </c>
      <c r="H281" s="7" t="n">
        <v>12</v>
      </c>
      <c r="I281" s="10" t="n">
        <v>2159</v>
      </c>
      <c r="J281" s="10" t="n">
        <v>1800</v>
      </c>
      <c r="K281" s="7" t="n">
        <v>24</v>
      </c>
      <c r="L281" s="7" t="s">
        <v>20</v>
      </c>
      <c r="M281" s="10" t="n">
        <v>25908</v>
      </c>
      <c r="N281" s="10" t="n">
        <v>4308</v>
      </c>
      <c r="O281" s="14" t="n">
        <f aca="false">N281/M281</f>
        <v>0.166280685502548</v>
      </c>
      <c r="P281" s="15" t="n">
        <f aca="false">YEAR(B281)</f>
        <v>2023</v>
      </c>
      <c r="Q281" s="15" t="str">
        <f aca="false">"Q"&amp;ROUNDUP(MONTH(B281)/3,0)</f>
        <v>Q1</v>
      </c>
      <c r="R281" s="15" t="str">
        <f aca="false">TEXT(B281,"MMM-YYYY")</f>
        <v>Feb-2023</v>
      </c>
    </row>
    <row r="282" customFormat="false" ht="15" hidden="false" customHeight="true" outlineLevel="0" collapsed="false">
      <c r="A282" s="3" t="s">
        <v>378</v>
      </c>
      <c r="B282" s="4" t="n">
        <v>44977</v>
      </c>
      <c r="C282" s="3" t="s">
        <v>111</v>
      </c>
      <c r="D282" s="3" t="s">
        <v>29</v>
      </c>
      <c r="E282" s="3" t="s">
        <v>77</v>
      </c>
      <c r="F282" s="3" t="s">
        <v>78</v>
      </c>
      <c r="G282" s="5" t="s">
        <v>79</v>
      </c>
      <c r="H282" s="3" t="n">
        <v>15</v>
      </c>
      <c r="I282" s="6" t="n">
        <v>1264</v>
      </c>
      <c r="J282" s="6" t="n">
        <v>900</v>
      </c>
      <c r="K282" s="3" t="n">
        <v>45</v>
      </c>
      <c r="L282" s="3" t="s">
        <v>20</v>
      </c>
      <c r="M282" s="6" t="n">
        <v>18960</v>
      </c>
      <c r="N282" s="6" t="n">
        <v>5460</v>
      </c>
      <c r="O282" s="12" t="n">
        <f aca="false">N282/M282</f>
        <v>0.287974683544304</v>
      </c>
      <c r="P282" s="13" t="n">
        <f aca="false">YEAR(B282)</f>
        <v>2023</v>
      </c>
      <c r="Q282" s="13" t="str">
        <f aca="false">"Q"&amp;ROUNDUP(MONTH(B282)/3,0)</f>
        <v>Q1</v>
      </c>
      <c r="R282" s="13" t="str">
        <f aca="false">TEXT(B282,"MMM-YYYY")</f>
        <v>Feb-2023</v>
      </c>
    </row>
    <row r="283" customFormat="false" ht="15" hidden="false" customHeight="true" outlineLevel="0" collapsed="false">
      <c r="A283" s="7" t="s">
        <v>379</v>
      </c>
      <c r="B283" s="8" t="n">
        <v>44978</v>
      </c>
      <c r="C283" s="7" t="s">
        <v>72</v>
      </c>
      <c r="D283" s="7" t="s">
        <v>35</v>
      </c>
      <c r="E283" s="7" t="s">
        <v>77</v>
      </c>
      <c r="F283" s="7" t="s">
        <v>78</v>
      </c>
      <c r="G283" s="9" t="s">
        <v>79</v>
      </c>
      <c r="H283" s="7" t="n">
        <v>2</v>
      </c>
      <c r="I283" s="10" t="n">
        <v>1255</v>
      </c>
      <c r="J283" s="10" t="n">
        <v>900</v>
      </c>
      <c r="K283" s="7" t="n">
        <v>34</v>
      </c>
      <c r="L283" s="7" t="s">
        <v>20</v>
      </c>
      <c r="M283" s="10" t="n">
        <v>2510</v>
      </c>
      <c r="N283" s="10" t="n">
        <v>710</v>
      </c>
      <c r="O283" s="14" t="n">
        <f aca="false">N283/M283</f>
        <v>0.282868525896414</v>
      </c>
      <c r="P283" s="15" t="n">
        <f aca="false">YEAR(B283)</f>
        <v>2023</v>
      </c>
      <c r="Q283" s="15" t="str">
        <f aca="false">"Q"&amp;ROUNDUP(MONTH(B283)/3,0)</f>
        <v>Q1</v>
      </c>
      <c r="R283" s="15" t="str">
        <f aca="false">TEXT(B283,"MMM-YYYY")</f>
        <v>Feb-2023</v>
      </c>
    </row>
    <row r="284" customFormat="false" ht="15" hidden="false" customHeight="true" outlineLevel="0" collapsed="false">
      <c r="A284" s="3" t="s">
        <v>380</v>
      </c>
      <c r="B284" s="4" t="n">
        <v>44979</v>
      </c>
      <c r="C284" s="3" t="s">
        <v>22</v>
      </c>
      <c r="D284" s="3" t="s">
        <v>16</v>
      </c>
      <c r="E284" s="3" t="s">
        <v>30</v>
      </c>
      <c r="F284" s="3" t="s">
        <v>126</v>
      </c>
      <c r="G284" s="5" t="s">
        <v>127</v>
      </c>
      <c r="H284" s="3" t="n">
        <v>12</v>
      </c>
      <c r="I284" s="6" t="n">
        <v>564</v>
      </c>
      <c r="J284" s="6" t="n">
        <v>400</v>
      </c>
      <c r="K284" s="3" t="n">
        <v>2</v>
      </c>
      <c r="L284" s="3" t="s">
        <v>26</v>
      </c>
      <c r="M284" s="6" t="n">
        <v>6768</v>
      </c>
      <c r="N284" s="6" t="n">
        <v>1968</v>
      </c>
      <c r="O284" s="12" t="n">
        <f aca="false">N284/M284</f>
        <v>0.290780141843972</v>
      </c>
      <c r="P284" s="13" t="n">
        <f aca="false">YEAR(B284)</f>
        <v>2023</v>
      </c>
      <c r="Q284" s="13" t="str">
        <f aca="false">"Q"&amp;ROUNDUP(MONTH(B284)/3,0)</f>
        <v>Q1</v>
      </c>
      <c r="R284" s="13" t="str">
        <f aca="false">TEXT(B284,"MMM-YYYY")</f>
        <v>Feb-2023</v>
      </c>
    </row>
    <row r="285" customFormat="false" ht="15" hidden="false" customHeight="true" outlineLevel="0" collapsed="false">
      <c r="A285" s="7" t="s">
        <v>381</v>
      </c>
      <c r="B285" s="8" t="n">
        <v>44981</v>
      </c>
      <c r="C285" s="7" t="s">
        <v>94</v>
      </c>
      <c r="D285" s="7" t="s">
        <v>48</v>
      </c>
      <c r="E285" s="7" t="s">
        <v>23</v>
      </c>
      <c r="F285" s="7" t="s">
        <v>49</v>
      </c>
      <c r="G285" s="9" t="s">
        <v>50</v>
      </c>
      <c r="H285" s="7" t="n">
        <v>12</v>
      </c>
      <c r="I285" s="10" t="n">
        <v>21541</v>
      </c>
      <c r="J285" s="10" t="n">
        <v>18000</v>
      </c>
      <c r="K285" s="7" t="n">
        <v>39</v>
      </c>
      <c r="L285" s="7" t="s">
        <v>20</v>
      </c>
      <c r="M285" s="10" t="n">
        <v>258492</v>
      </c>
      <c r="N285" s="10" t="n">
        <v>42492</v>
      </c>
      <c r="O285" s="14" t="n">
        <f aca="false">N285/M285</f>
        <v>0.164384197576714</v>
      </c>
      <c r="P285" s="15" t="n">
        <f aca="false">YEAR(B285)</f>
        <v>2023</v>
      </c>
      <c r="Q285" s="15" t="str">
        <f aca="false">"Q"&amp;ROUNDUP(MONTH(B285)/3,0)</f>
        <v>Q1</v>
      </c>
      <c r="R285" s="15" t="str">
        <f aca="false">TEXT(B285,"MMM-YYYY")</f>
        <v>Feb-2023</v>
      </c>
    </row>
    <row r="286" customFormat="false" ht="15" hidden="false" customHeight="true" outlineLevel="0" collapsed="false">
      <c r="A286" s="3" t="s">
        <v>382</v>
      </c>
      <c r="B286" s="4" t="n">
        <v>44983</v>
      </c>
      <c r="C286" s="3" t="s">
        <v>15</v>
      </c>
      <c r="D286" s="3" t="s">
        <v>16</v>
      </c>
      <c r="E286" s="3" t="s">
        <v>39</v>
      </c>
      <c r="F286" s="3" t="s">
        <v>143</v>
      </c>
      <c r="G286" s="5" t="s">
        <v>144</v>
      </c>
      <c r="H286" s="3" t="n">
        <v>6</v>
      </c>
      <c r="I286" s="6" t="n">
        <v>324</v>
      </c>
      <c r="J286" s="6" t="n">
        <v>280</v>
      </c>
      <c r="K286" s="3" t="n">
        <v>15</v>
      </c>
      <c r="L286" s="3" t="s">
        <v>20</v>
      </c>
      <c r="M286" s="6" t="n">
        <v>1944</v>
      </c>
      <c r="N286" s="6" t="n">
        <v>264</v>
      </c>
      <c r="O286" s="12" t="n">
        <f aca="false">N286/M286</f>
        <v>0.135802469135802</v>
      </c>
      <c r="P286" s="13" t="n">
        <f aca="false">YEAR(B286)</f>
        <v>2023</v>
      </c>
      <c r="Q286" s="13" t="str">
        <f aca="false">"Q"&amp;ROUNDUP(MONTH(B286)/3,0)</f>
        <v>Q1</v>
      </c>
      <c r="R286" s="13" t="str">
        <f aca="false">TEXT(B286,"MMM-YYYY")</f>
        <v>Feb-2023</v>
      </c>
    </row>
    <row r="287" customFormat="false" ht="15" hidden="false" customHeight="true" outlineLevel="0" collapsed="false">
      <c r="A287" s="7" t="s">
        <v>383</v>
      </c>
      <c r="B287" s="8" t="n">
        <v>44983</v>
      </c>
      <c r="C287" s="7" t="s">
        <v>94</v>
      </c>
      <c r="D287" s="7" t="s">
        <v>48</v>
      </c>
      <c r="E287" s="7" t="s">
        <v>39</v>
      </c>
      <c r="F287" s="7" t="s">
        <v>99</v>
      </c>
      <c r="G287" s="9" t="s">
        <v>100</v>
      </c>
      <c r="H287" s="7" t="n">
        <v>11</v>
      </c>
      <c r="I287" s="10" t="n">
        <v>272</v>
      </c>
      <c r="J287" s="10" t="n">
        <v>220</v>
      </c>
      <c r="K287" s="7" t="n">
        <v>14</v>
      </c>
      <c r="L287" s="7" t="s">
        <v>26</v>
      </c>
      <c r="M287" s="10" t="n">
        <v>2992</v>
      </c>
      <c r="N287" s="10" t="n">
        <v>572</v>
      </c>
      <c r="O287" s="14" t="n">
        <f aca="false">N287/M287</f>
        <v>0.191176470588235</v>
      </c>
      <c r="P287" s="15" t="n">
        <f aca="false">YEAR(B287)</f>
        <v>2023</v>
      </c>
      <c r="Q287" s="15" t="str">
        <f aca="false">"Q"&amp;ROUNDUP(MONTH(B287)/3,0)</f>
        <v>Q1</v>
      </c>
      <c r="R287" s="15" t="str">
        <f aca="false">TEXT(B287,"MMM-YYYY")</f>
        <v>Feb-2023</v>
      </c>
    </row>
    <row r="288" customFormat="false" ht="15" hidden="false" customHeight="true" outlineLevel="0" collapsed="false">
      <c r="A288" s="3" t="s">
        <v>384</v>
      </c>
      <c r="B288" s="4" t="n">
        <v>44985</v>
      </c>
      <c r="C288" s="3" t="s">
        <v>47</v>
      </c>
      <c r="D288" s="3" t="s">
        <v>48</v>
      </c>
      <c r="E288" s="3" t="s">
        <v>77</v>
      </c>
      <c r="F288" s="3" t="s">
        <v>129</v>
      </c>
      <c r="G288" s="5" t="s">
        <v>130</v>
      </c>
      <c r="H288" s="3" t="n">
        <v>4</v>
      </c>
      <c r="I288" s="6" t="n">
        <v>169</v>
      </c>
      <c r="J288" s="6" t="n">
        <v>120</v>
      </c>
      <c r="K288" s="3" t="n">
        <v>34</v>
      </c>
      <c r="L288" s="3" t="s">
        <v>26</v>
      </c>
      <c r="M288" s="6" t="n">
        <v>676</v>
      </c>
      <c r="N288" s="6" t="n">
        <v>196</v>
      </c>
      <c r="O288" s="12" t="n">
        <f aca="false">N288/M288</f>
        <v>0.289940828402367</v>
      </c>
      <c r="P288" s="13" t="n">
        <f aca="false">YEAR(B288)</f>
        <v>2023</v>
      </c>
      <c r="Q288" s="13" t="str">
        <f aca="false">"Q"&amp;ROUNDUP(MONTH(B288)/3,0)</f>
        <v>Q1</v>
      </c>
      <c r="R288" s="13" t="str">
        <f aca="false">TEXT(B288,"MMM-YYYY")</f>
        <v>Feb-2023</v>
      </c>
    </row>
    <row r="289" customFormat="false" ht="15" hidden="false" customHeight="true" outlineLevel="0" collapsed="false">
      <c r="A289" s="7" t="s">
        <v>385</v>
      </c>
      <c r="B289" s="8" t="n">
        <v>44988</v>
      </c>
      <c r="C289" s="7" t="s">
        <v>94</v>
      </c>
      <c r="D289" s="7" t="s">
        <v>48</v>
      </c>
      <c r="E289" s="7" t="s">
        <v>30</v>
      </c>
      <c r="F289" s="7" t="s">
        <v>126</v>
      </c>
      <c r="G289" s="9" t="s">
        <v>127</v>
      </c>
      <c r="H289" s="7" t="n">
        <v>1</v>
      </c>
      <c r="I289" s="10" t="n">
        <v>568</v>
      </c>
      <c r="J289" s="10" t="n">
        <v>400</v>
      </c>
      <c r="K289" s="7" t="n">
        <v>28</v>
      </c>
      <c r="L289" s="7" t="s">
        <v>26</v>
      </c>
      <c r="M289" s="10" t="n">
        <v>568</v>
      </c>
      <c r="N289" s="10" t="n">
        <v>168</v>
      </c>
      <c r="O289" s="14" t="n">
        <f aca="false">N289/M289</f>
        <v>0.295774647887324</v>
      </c>
      <c r="P289" s="15" t="n">
        <f aca="false">YEAR(B289)</f>
        <v>2023</v>
      </c>
      <c r="Q289" s="15" t="str">
        <f aca="false">"Q"&amp;ROUNDUP(MONTH(B289)/3,0)</f>
        <v>Q1</v>
      </c>
      <c r="R289" s="15" t="str">
        <f aca="false">TEXT(B289,"MMM-YYYY")</f>
        <v>Mar-2023</v>
      </c>
    </row>
    <row r="290" customFormat="false" ht="15" hidden="false" customHeight="true" outlineLevel="0" collapsed="false">
      <c r="A290" s="3" t="s">
        <v>386</v>
      </c>
      <c r="B290" s="4" t="n">
        <v>44988</v>
      </c>
      <c r="C290" s="3" t="s">
        <v>43</v>
      </c>
      <c r="D290" s="3" t="s">
        <v>16</v>
      </c>
      <c r="E290" s="3" t="s">
        <v>23</v>
      </c>
      <c r="F290" s="3" t="s">
        <v>90</v>
      </c>
      <c r="G290" s="5" t="s">
        <v>91</v>
      </c>
      <c r="H290" s="3" t="n">
        <v>12</v>
      </c>
      <c r="I290" s="6" t="n">
        <v>754</v>
      </c>
      <c r="J290" s="6" t="n">
        <v>600</v>
      </c>
      <c r="K290" s="3" t="n">
        <v>20</v>
      </c>
      <c r="L290" s="3" t="s">
        <v>20</v>
      </c>
      <c r="M290" s="6" t="n">
        <v>9048</v>
      </c>
      <c r="N290" s="6" t="n">
        <v>1848</v>
      </c>
      <c r="O290" s="12" t="n">
        <f aca="false">N290/M290</f>
        <v>0.204244031830239</v>
      </c>
      <c r="P290" s="13" t="n">
        <f aca="false">YEAR(B290)</f>
        <v>2023</v>
      </c>
      <c r="Q290" s="13" t="str">
        <f aca="false">"Q"&amp;ROUNDUP(MONTH(B290)/3,0)</f>
        <v>Q1</v>
      </c>
      <c r="R290" s="13" t="str">
        <f aca="false">TEXT(B290,"MMM-YYYY")</f>
        <v>Mar-2023</v>
      </c>
    </row>
    <row r="291" customFormat="false" ht="15" hidden="false" customHeight="true" outlineLevel="0" collapsed="false">
      <c r="A291" s="7" t="s">
        <v>387</v>
      </c>
      <c r="B291" s="8" t="n">
        <v>44991</v>
      </c>
      <c r="C291" s="7" t="s">
        <v>15</v>
      </c>
      <c r="D291" s="7" t="s">
        <v>16</v>
      </c>
      <c r="E291" s="7" t="s">
        <v>62</v>
      </c>
      <c r="F291" s="7" t="s">
        <v>84</v>
      </c>
      <c r="G291" s="9" t="s">
        <v>85</v>
      </c>
      <c r="H291" s="7" t="n">
        <v>6</v>
      </c>
      <c r="I291" s="10" t="n">
        <v>471</v>
      </c>
      <c r="J291" s="10" t="n">
        <v>350</v>
      </c>
      <c r="K291" s="7" t="n">
        <v>30</v>
      </c>
      <c r="L291" s="7" t="s">
        <v>20</v>
      </c>
      <c r="M291" s="10" t="n">
        <v>2826</v>
      </c>
      <c r="N291" s="10" t="n">
        <v>726</v>
      </c>
      <c r="O291" s="14" t="n">
        <f aca="false">N291/M291</f>
        <v>0.256900212314225</v>
      </c>
      <c r="P291" s="15" t="n">
        <f aca="false">YEAR(B291)</f>
        <v>2023</v>
      </c>
      <c r="Q291" s="15" t="str">
        <f aca="false">"Q"&amp;ROUNDUP(MONTH(B291)/3,0)</f>
        <v>Q1</v>
      </c>
      <c r="R291" s="15" t="str">
        <f aca="false">TEXT(B291,"MMM-YYYY")</f>
        <v>Mar-2023</v>
      </c>
    </row>
    <row r="292" customFormat="false" ht="15" hidden="false" customHeight="true" outlineLevel="0" collapsed="false">
      <c r="A292" s="3" t="s">
        <v>388</v>
      </c>
      <c r="B292" s="4" t="n">
        <v>44991</v>
      </c>
      <c r="C292" s="3" t="s">
        <v>52</v>
      </c>
      <c r="D292" s="3" t="s">
        <v>29</v>
      </c>
      <c r="E292" s="3" t="s">
        <v>39</v>
      </c>
      <c r="F292" s="3" t="s">
        <v>40</v>
      </c>
      <c r="G292" s="5" t="s">
        <v>41</v>
      </c>
      <c r="H292" s="3" t="n">
        <v>15</v>
      </c>
      <c r="I292" s="6" t="n">
        <v>104</v>
      </c>
      <c r="J292" s="6" t="n">
        <v>90</v>
      </c>
      <c r="K292" s="3" t="n">
        <v>8</v>
      </c>
      <c r="L292" s="3" t="s">
        <v>20</v>
      </c>
      <c r="M292" s="6" t="n">
        <v>1560</v>
      </c>
      <c r="N292" s="6" t="n">
        <v>210</v>
      </c>
      <c r="O292" s="12" t="n">
        <f aca="false">N292/M292</f>
        <v>0.134615384615385</v>
      </c>
      <c r="P292" s="13" t="n">
        <f aca="false">YEAR(B292)</f>
        <v>2023</v>
      </c>
      <c r="Q292" s="13" t="str">
        <f aca="false">"Q"&amp;ROUNDUP(MONTH(B292)/3,0)</f>
        <v>Q1</v>
      </c>
      <c r="R292" s="13" t="str">
        <f aca="false">TEXT(B292,"MMM-YYYY")</f>
        <v>Mar-2023</v>
      </c>
    </row>
    <row r="293" customFormat="false" ht="15" hidden="false" customHeight="true" outlineLevel="0" collapsed="false">
      <c r="A293" s="7" t="s">
        <v>389</v>
      </c>
      <c r="B293" s="8" t="n">
        <v>44993</v>
      </c>
      <c r="C293" s="7" t="s">
        <v>22</v>
      </c>
      <c r="D293" s="7" t="s">
        <v>16</v>
      </c>
      <c r="E293" s="7" t="s">
        <v>17</v>
      </c>
      <c r="F293" s="7" t="s">
        <v>54</v>
      </c>
      <c r="G293" s="9" t="s">
        <v>55</v>
      </c>
      <c r="H293" s="7" t="n">
        <v>5</v>
      </c>
      <c r="I293" s="10" t="n">
        <v>659</v>
      </c>
      <c r="J293" s="10" t="n">
        <v>450</v>
      </c>
      <c r="K293" s="7" t="n">
        <v>50</v>
      </c>
      <c r="L293" s="7" t="s">
        <v>20</v>
      </c>
      <c r="M293" s="10" t="n">
        <v>3295</v>
      </c>
      <c r="N293" s="10" t="n">
        <v>1045</v>
      </c>
      <c r="O293" s="14" t="n">
        <f aca="false">N293/M293</f>
        <v>0.317147192716237</v>
      </c>
      <c r="P293" s="15" t="n">
        <f aca="false">YEAR(B293)</f>
        <v>2023</v>
      </c>
      <c r="Q293" s="15" t="str">
        <f aca="false">"Q"&amp;ROUNDUP(MONTH(B293)/3,0)</f>
        <v>Q1</v>
      </c>
      <c r="R293" s="15" t="str">
        <f aca="false">TEXT(B293,"MMM-YYYY")</f>
        <v>Mar-2023</v>
      </c>
    </row>
    <row r="294" customFormat="false" ht="15" hidden="false" customHeight="true" outlineLevel="0" collapsed="false">
      <c r="A294" s="3" t="s">
        <v>390</v>
      </c>
      <c r="B294" s="4" t="n">
        <v>44995</v>
      </c>
      <c r="C294" s="3" t="s">
        <v>43</v>
      </c>
      <c r="D294" s="3" t="s">
        <v>16</v>
      </c>
      <c r="E294" s="3" t="s">
        <v>77</v>
      </c>
      <c r="F294" s="3" t="s">
        <v>78</v>
      </c>
      <c r="G294" s="5" t="s">
        <v>79</v>
      </c>
      <c r="H294" s="3" t="n">
        <v>3</v>
      </c>
      <c r="I294" s="6" t="n">
        <v>1297</v>
      </c>
      <c r="J294" s="6" t="n">
        <v>900</v>
      </c>
      <c r="K294" s="3" t="n">
        <v>39</v>
      </c>
      <c r="L294" s="3" t="s">
        <v>26</v>
      </c>
      <c r="M294" s="6" t="n">
        <v>3891</v>
      </c>
      <c r="N294" s="6" t="n">
        <v>1191</v>
      </c>
      <c r="O294" s="12" t="n">
        <f aca="false">N294/M294</f>
        <v>0.306090979182729</v>
      </c>
      <c r="P294" s="13" t="n">
        <f aca="false">YEAR(B294)</f>
        <v>2023</v>
      </c>
      <c r="Q294" s="13" t="str">
        <f aca="false">"Q"&amp;ROUNDUP(MONTH(B294)/3,0)</f>
        <v>Q1</v>
      </c>
      <c r="R294" s="13" t="str">
        <f aca="false">TEXT(B294,"MMM-YYYY")</f>
        <v>Mar-2023</v>
      </c>
    </row>
    <row r="295" customFormat="false" ht="15" hidden="false" customHeight="true" outlineLevel="0" collapsed="false">
      <c r="A295" s="7" t="s">
        <v>391</v>
      </c>
      <c r="B295" s="8" t="n">
        <v>44996</v>
      </c>
      <c r="C295" s="7" t="s">
        <v>47</v>
      </c>
      <c r="D295" s="7" t="s">
        <v>48</v>
      </c>
      <c r="E295" s="7" t="s">
        <v>62</v>
      </c>
      <c r="F295" s="7" t="s">
        <v>69</v>
      </c>
      <c r="G295" s="9" t="s">
        <v>70</v>
      </c>
      <c r="H295" s="7" t="n">
        <v>6</v>
      </c>
      <c r="I295" s="10" t="n">
        <v>65</v>
      </c>
      <c r="J295" s="10" t="n">
        <v>50</v>
      </c>
      <c r="K295" s="7" t="n">
        <v>25</v>
      </c>
      <c r="L295" s="7" t="s">
        <v>20</v>
      </c>
      <c r="M295" s="10" t="n">
        <v>390</v>
      </c>
      <c r="N295" s="10" t="n">
        <v>90</v>
      </c>
      <c r="O295" s="14" t="n">
        <f aca="false">N295/M295</f>
        <v>0.230769230769231</v>
      </c>
      <c r="P295" s="15" t="n">
        <f aca="false">YEAR(B295)</f>
        <v>2023</v>
      </c>
      <c r="Q295" s="15" t="str">
        <f aca="false">"Q"&amp;ROUNDUP(MONTH(B295)/3,0)</f>
        <v>Q1</v>
      </c>
      <c r="R295" s="15" t="str">
        <f aca="false">TEXT(B295,"MMM-YYYY")</f>
        <v>Mar-2023</v>
      </c>
    </row>
    <row r="296" customFormat="false" ht="15" hidden="false" customHeight="true" outlineLevel="0" collapsed="false">
      <c r="A296" s="3" t="s">
        <v>392</v>
      </c>
      <c r="B296" s="4" t="n">
        <v>44996</v>
      </c>
      <c r="C296" s="3" t="s">
        <v>43</v>
      </c>
      <c r="D296" s="3" t="s">
        <v>16</v>
      </c>
      <c r="E296" s="3" t="s">
        <v>17</v>
      </c>
      <c r="F296" s="3" t="s">
        <v>54</v>
      </c>
      <c r="G296" s="5" t="s">
        <v>55</v>
      </c>
      <c r="H296" s="3" t="n">
        <v>13</v>
      </c>
      <c r="I296" s="6" t="n">
        <v>622</v>
      </c>
      <c r="J296" s="6" t="n">
        <v>450</v>
      </c>
      <c r="K296" s="3" t="n">
        <v>23</v>
      </c>
      <c r="L296" s="3" t="s">
        <v>26</v>
      </c>
      <c r="M296" s="6" t="n">
        <v>8086</v>
      </c>
      <c r="N296" s="6" t="n">
        <v>2236</v>
      </c>
      <c r="O296" s="12" t="n">
        <f aca="false">N296/M296</f>
        <v>0.276527331189711</v>
      </c>
      <c r="P296" s="13" t="n">
        <f aca="false">YEAR(B296)</f>
        <v>2023</v>
      </c>
      <c r="Q296" s="13" t="str">
        <f aca="false">"Q"&amp;ROUNDUP(MONTH(B296)/3,0)</f>
        <v>Q1</v>
      </c>
      <c r="R296" s="13" t="str">
        <f aca="false">TEXT(B296,"MMM-YYYY")</f>
        <v>Mar-2023</v>
      </c>
    </row>
    <row r="297" customFormat="false" ht="15" hidden="false" customHeight="true" outlineLevel="0" collapsed="false">
      <c r="A297" s="7" t="s">
        <v>393</v>
      </c>
      <c r="B297" s="8" t="n">
        <v>44997</v>
      </c>
      <c r="C297" s="7" t="s">
        <v>58</v>
      </c>
      <c r="D297" s="7" t="s">
        <v>48</v>
      </c>
      <c r="E297" s="7" t="s">
        <v>30</v>
      </c>
      <c r="F297" s="7" t="s">
        <v>87</v>
      </c>
      <c r="G297" s="9" t="s">
        <v>88</v>
      </c>
      <c r="H297" s="7" t="n">
        <v>6</v>
      </c>
      <c r="I297" s="10" t="n">
        <v>1032</v>
      </c>
      <c r="J297" s="10" t="n">
        <v>700</v>
      </c>
      <c r="K297" s="7" t="n">
        <v>41</v>
      </c>
      <c r="L297" s="7" t="s">
        <v>20</v>
      </c>
      <c r="M297" s="10" t="n">
        <v>6192</v>
      </c>
      <c r="N297" s="10" t="n">
        <v>1992</v>
      </c>
      <c r="O297" s="14" t="n">
        <f aca="false">N297/M297</f>
        <v>0.321705426356589</v>
      </c>
      <c r="P297" s="15" t="n">
        <f aca="false">YEAR(B297)</f>
        <v>2023</v>
      </c>
      <c r="Q297" s="15" t="str">
        <f aca="false">"Q"&amp;ROUNDUP(MONTH(B297)/3,0)</f>
        <v>Q1</v>
      </c>
      <c r="R297" s="15" t="str">
        <f aca="false">TEXT(B297,"MMM-YYYY")</f>
        <v>Mar-2023</v>
      </c>
    </row>
    <row r="298" customFormat="false" ht="15" hidden="false" customHeight="true" outlineLevel="0" collapsed="false">
      <c r="A298" s="3" t="s">
        <v>394</v>
      </c>
      <c r="B298" s="4" t="n">
        <v>44998</v>
      </c>
      <c r="C298" s="3" t="s">
        <v>43</v>
      </c>
      <c r="D298" s="3" t="s">
        <v>16</v>
      </c>
      <c r="E298" s="3" t="s">
        <v>62</v>
      </c>
      <c r="F298" s="3" t="s">
        <v>84</v>
      </c>
      <c r="G298" s="5" t="s">
        <v>85</v>
      </c>
      <c r="H298" s="3" t="n">
        <v>7</v>
      </c>
      <c r="I298" s="6" t="n">
        <v>488</v>
      </c>
      <c r="J298" s="6" t="n">
        <v>350</v>
      </c>
      <c r="K298" s="3" t="n">
        <v>7</v>
      </c>
      <c r="L298" s="3" t="s">
        <v>26</v>
      </c>
      <c r="M298" s="6" t="n">
        <v>3416</v>
      </c>
      <c r="N298" s="6" t="n">
        <v>966</v>
      </c>
      <c r="O298" s="12" t="n">
        <f aca="false">N298/M298</f>
        <v>0.282786885245902</v>
      </c>
      <c r="P298" s="13" t="n">
        <f aca="false">YEAR(B298)</f>
        <v>2023</v>
      </c>
      <c r="Q298" s="13" t="str">
        <f aca="false">"Q"&amp;ROUNDUP(MONTH(B298)/3,0)</f>
        <v>Q1</v>
      </c>
      <c r="R298" s="13" t="str">
        <f aca="false">TEXT(B298,"MMM-YYYY")</f>
        <v>Mar-2023</v>
      </c>
    </row>
    <row r="299" customFormat="false" ht="15" hidden="false" customHeight="true" outlineLevel="0" collapsed="false">
      <c r="A299" s="7" t="s">
        <v>395</v>
      </c>
      <c r="B299" s="8" t="n">
        <v>44999</v>
      </c>
      <c r="C299" s="7" t="s">
        <v>15</v>
      </c>
      <c r="D299" s="7" t="s">
        <v>16</v>
      </c>
      <c r="E299" s="7" t="s">
        <v>39</v>
      </c>
      <c r="F299" s="7" t="s">
        <v>40</v>
      </c>
      <c r="G299" s="9" t="s">
        <v>41</v>
      </c>
      <c r="H299" s="7" t="n">
        <v>5</v>
      </c>
      <c r="I299" s="10" t="n">
        <v>108</v>
      </c>
      <c r="J299" s="10" t="n">
        <v>90</v>
      </c>
      <c r="K299" s="7" t="n">
        <v>34</v>
      </c>
      <c r="L299" s="7" t="s">
        <v>20</v>
      </c>
      <c r="M299" s="10" t="n">
        <v>540</v>
      </c>
      <c r="N299" s="10" t="n">
        <v>90</v>
      </c>
      <c r="O299" s="14" t="n">
        <f aca="false">N299/M299</f>
        <v>0.166666666666667</v>
      </c>
      <c r="P299" s="15" t="n">
        <f aca="false">YEAR(B299)</f>
        <v>2023</v>
      </c>
      <c r="Q299" s="15" t="str">
        <f aca="false">"Q"&amp;ROUNDUP(MONTH(B299)/3,0)</f>
        <v>Q1</v>
      </c>
      <c r="R299" s="15" t="str">
        <f aca="false">TEXT(B299,"MMM-YYYY")</f>
        <v>Mar-2023</v>
      </c>
    </row>
    <row r="300" customFormat="false" ht="15" hidden="false" customHeight="true" outlineLevel="0" collapsed="false">
      <c r="A300" s="3" t="s">
        <v>396</v>
      </c>
      <c r="B300" s="4" t="n">
        <v>45000</v>
      </c>
      <c r="C300" s="3" t="s">
        <v>52</v>
      </c>
      <c r="D300" s="3" t="s">
        <v>29</v>
      </c>
      <c r="E300" s="3" t="s">
        <v>30</v>
      </c>
      <c r="F300" s="3" t="s">
        <v>36</v>
      </c>
      <c r="G300" s="5" t="s">
        <v>37</v>
      </c>
      <c r="H300" s="3" t="n">
        <v>3</v>
      </c>
      <c r="I300" s="6" t="n">
        <v>632</v>
      </c>
      <c r="J300" s="6" t="n">
        <v>450</v>
      </c>
      <c r="K300" s="3" t="n">
        <v>13</v>
      </c>
      <c r="L300" s="3" t="s">
        <v>26</v>
      </c>
      <c r="M300" s="6" t="n">
        <v>1896</v>
      </c>
      <c r="N300" s="6" t="n">
        <v>546</v>
      </c>
      <c r="O300" s="12" t="n">
        <f aca="false">N300/M300</f>
        <v>0.287974683544304</v>
      </c>
      <c r="P300" s="13" t="n">
        <f aca="false">YEAR(B300)</f>
        <v>2023</v>
      </c>
      <c r="Q300" s="13" t="str">
        <f aca="false">"Q"&amp;ROUNDUP(MONTH(B300)/3,0)</f>
        <v>Q1</v>
      </c>
      <c r="R300" s="13" t="str">
        <f aca="false">TEXT(B300,"MMM-YYYY")</f>
        <v>Mar-2023</v>
      </c>
    </row>
    <row r="301" customFormat="false" ht="15" hidden="false" customHeight="true" outlineLevel="0" collapsed="false">
      <c r="A301" s="7" t="s">
        <v>397</v>
      </c>
      <c r="B301" s="8" t="n">
        <v>45003</v>
      </c>
      <c r="C301" s="7" t="s">
        <v>15</v>
      </c>
      <c r="D301" s="7" t="s">
        <v>16</v>
      </c>
      <c r="E301" s="7" t="s">
        <v>39</v>
      </c>
      <c r="F301" s="7" t="s">
        <v>220</v>
      </c>
      <c r="G301" s="9" t="s">
        <v>221</v>
      </c>
      <c r="H301" s="7" t="n">
        <v>5</v>
      </c>
      <c r="I301" s="10" t="n">
        <v>209</v>
      </c>
      <c r="J301" s="10" t="n">
        <v>180</v>
      </c>
      <c r="K301" s="7" t="n">
        <v>1</v>
      </c>
      <c r="L301" s="7" t="s">
        <v>26</v>
      </c>
      <c r="M301" s="10" t="n">
        <v>1045</v>
      </c>
      <c r="N301" s="10" t="n">
        <v>145</v>
      </c>
      <c r="O301" s="14" t="n">
        <f aca="false">N301/M301</f>
        <v>0.138755980861244</v>
      </c>
      <c r="P301" s="15" t="n">
        <f aca="false">YEAR(B301)</f>
        <v>2023</v>
      </c>
      <c r="Q301" s="15" t="str">
        <f aca="false">"Q"&amp;ROUNDUP(MONTH(B301)/3,0)</f>
        <v>Q1</v>
      </c>
      <c r="R301" s="15" t="str">
        <f aca="false">TEXT(B301,"MMM-YYYY")</f>
        <v>Mar-2023</v>
      </c>
    </row>
    <row r="302" customFormat="false" ht="15" hidden="false" customHeight="true" outlineLevel="0" collapsed="false">
      <c r="A302" s="3" t="s">
        <v>398</v>
      </c>
      <c r="B302" s="4" t="n">
        <v>45004</v>
      </c>
      <c r="C302" s="3" t="s">
        <v>28</v>
      </c>
      <c r="D302" s="3" t="s">
        <v>29</v>
      </c>
      <c r="E302" s="3" t="s">
        <v>17</v>
      </c>
      <c r="F302" s="3" t="s">
        <v>54</v>
      </c>
      <c r="G302" s="5" t="s">
        <v>55</v>
      </c>
      <c r="H302" s="3" t="n">
        <v>7</v>
      </c>
      <c r="I302" s="6" t="n">
        <v>613</v>
      </c>
      <c r="J302" s="6" t="n">
        <v>450</v>
      </c>
      <c r="K302" s="3" t="n">
        <v>17</v>
      </c>
      <c r="L302" s="3" t="s">
        <v>26</v>
      </c>
      <c r="M302" s="6" t="n">
        <v>4291</v>
      </c>
      <c r="N302" s="6" t="n">
        <v>1141</v>
      </c>
      <c r="O302" s="12" t="n">
        <f aca="false">N302/M302</f>
        <v>0.265905383360522</v>
      </c>
      <c r="P302" s="13" t="n">
        <f aca="false">YEAR(B302)</f>
        <v>2023</v>
      </c>
      <c r="Q302" s="13" t="str">
        <f aca="false">"Q"&amp;ROUNDUP(MONTH(B302)/3,0)</f>
        <v>Q1</v>
      </c>
      <c r="R302" s="13" t="str">
        <f aca="false">TEXT(B302,"MMM-YYYY")</f>
        <v>Mar-2023</v>
      </c>
    </row>
    <row r="303" customFormat="false" ht="15" hidden="false" customHeight="true" outlineLevel="0" collapsed="false">
      <c r="A303" s="7" t="s">
        <v>399</v>
      </c>
      <c r="B303" s="8" t="n">
        <v>45006</v>
      </c>
      <c r="C303" s="7" t="s">
        <v>47</v>
      </c>
      <c r="D303" s="7" t="s">
        <v>48</v>
      </c>
      <c r="E303" s="7" t="s">
        <v>77</v>
      </c>
      <c r="F303" s="7" t="s">
        <v>81</v>
      </c>
      <c r="G303" s="9" t="s">
        <v>82</v>
      </c>
      <c r="H303" s="7" t="n">
        <v>7</v>
      </c>
      <c r="I303" s="10" t="n">
        <v>812</v>
      </c>
      <c r="J303" s="10" t="n">
        <v>600</v>
      </c>
      <c r="K303" s="7" t="n">
        <v>9</v>
      </c>
      <c r="L303" s="7" t="s">
        <v>26</v>
      </c>
      <c r="M303" s="10" t="n">
        <v>5684</v>
      </c>
      <c r="N303" s="10" t="n">
        <v>1484</v>
      </c>
      <c r="O303" s="14" t="n">
        <f aca="false">N303/M303</f>
        <v>0.261083743842365</v>
      </c>
      <c r="P303" s="15" t="n">
        <f aca="false">YEAR(B303)</f>
        <v>2023</v>
      </c>
      <c r="Q303" s="15" t="str">
        <f aca="false">"Q"&amp;ROUNDUP(MONTH(B303)/3,0)</f>
        <v>Q1</v>
      </c>
      <c r="R303" s="15" t="str">
        <f aca="false">TEXT(B303,"MMM-YYYY")</f>
        <v>Mar-2023</v>
      </c>
    </row>
    <row r="304" customFormat="false" ht="15" hidden="false" customHeight="true" outlineLevel="0" collapsed="false">
      <c r="A304" s="3" t="s">
        <v>400</v>
      </c>
      <c r="B304" s="4" t="n">
        <v>45008</v>
      </c>
      <c r="C304" s="3" t="s">
        <v>94</v>
      </c>
      <c r="D304" s="3" t="s">
        <v>48</v>
      </c>
      <c r="E304" s="3" t="s">
        <v>62</v>
      </c>
      <c r="F304" s="3" t="s">
        <v>96</v>
      </c>
      <c r="G304" s="5" t="s">
        <v>97</v>
      </c>
      <c r="H304" s="3" t="n">
        <v>10</v>
      </c>
      <c r="I304" s="6" t="n">
        <v>107</v>
      </c>
      <c r="J304" s="6" t="n">
        <v>80</v>
      </c>
      <c r="K304" s="3" t="n">
        <v>0</v>
      </c>
      <c r="L304" s="3" t="s">
        <v>26</v>
      </c>
      <c r="M304" s="6" t="n">
        <v>1070</v>
      </c>
      <c r="N304" s="6" t="n">
        <v>270</v>
      </c>
      <c r="O304" s="12" t="n">
        <f aca="false">N304/M304</f>
        <v>0.252336448598131</v>
      </c>
      <c r="P304" s="13" t="n">
        <f aca="false">YEAR(B304)</f>
        <v>2023</v>
      </c>
      <c r="Q304" s="13" t="str">
        <f aca="false">"Q"&amp;ROUNDUP(MONTH(B304)/3,0)</f>
        <v>Q1</v>
      </c>
      <c r="R304" s="13" t="str">
        <f aca="false">TEXT(B304,"MMM-YYYY")</f>
        <v>Mar-2023</v>
      </c>
    </row>
    <row r="305" customFormat="false" ht="15" hidden="false" customHeight="true" outlineLevel="0" collapsed="false">
      <c r="A305" s="7" t="s">
        <v>401</v>
      </c>
      <c r="B305" s="8" t="n">
        <v>45008</v>
      </c>
      <c r="C305" s="7" t="s">
        <v>58</v>
      </c>
      <c r="D305" s="7" t="s">
        <v>48</v>
      </c>
      <c r="E305" s="7" t="s">
        <v>77</v>
      </c>
      <c r="F305" s="7" t="s">
        <v>129</v>
      </c>
      <c r="G305" s="9" t="s">
        <v>130</v>
      </c>
      <c r="H305" s="7" t="n">
        <v>15</v>
      </c>
      <c r="I305" s="10" t="n">
        <v>171</v>
      </c>
      <c r="J305" s="10" t="n">
        <v>120</v>
      </c>
      <c r="K305" s="7" t="n">
        <v>37</v>
      </c>
      <c r="L305" s="7" t="s">
        <v>26</v>
      </c>
      <c r="M305" s="10" t="n">
        <v>2565</v>
      </c>
      <c r="N305" s="10" t="n">
        <v>765</v>
      </c>
      <c r="O305" s="14" t="n">
        <f aca="false">N305/M305</f>
        <v>0.298245614035088</v>
      </c>
      <c r="P305" s="15" t="n">
        <f aca="false">YEAR(B305)</f>
        <v>2023</v>
      </c>
      <c r="Q305" s="15" t="str">
        <f aca="false">"Q"&amp;ROUNDUP(MONTH(B305)/3,0)</f>
        <v>Q1</v>
      </c>
      <c r="R305" s="15" t="str">
        <f aca="false">TEXT(B305,"MMM-YYYY")</f>
        <v>Mar-2023</v>
      </c>
    </row>
    <row r="306" customFormat="false" ht="15" hidden="false" customHeight="true" outlineLevel="0" collapsed="false">
      <c r="A306" s="3" t="s">
        <v>402</v>
      </c>
      <c r="B306" s="4" t="n">
        <v>45011</v>
      </c>
      <c r="C306" s="3" t="s">
        <v>136</v>
      </c>
      <c r="D306" s="3" t="s">
        <v>35</v>
      </c>
      <c r="E306" s="3" t="s">
        <v>77</v>
      </c>
      <c r="F306" s="3" t="s">
        <v>81</v>
      </c>
      <c r="G306" s="5" t="s">
        <v>82</v>
      </c>
      <c r="H306" s="3" t="n">
        <v>3</v>
      </c>
      <c r="I306" s="6" t="n">
        <v>828</v>
      </c>
      <c r="J306" s="6" t="n">
        <v>600</v>
      </c>
      <c r="K306" s="3" t="n">
        <v>21</v>
      </c>
      <c r="L306" s="3" t="s">
        <v>20</v>
      </c>
      <c r="M306" s="6" t="n">
        <v>2484</v>
      </c>
      <c r="N306" s="6" t="n">
        <v>684</v>
      </c>
      <c r="O306" s="12" t="n">
        <f aca="false">N306/M306</f>
        <v>0.27536231884058</v>
      </c>
      <c r="P306" s="13" t="n">
        <f aca="false">YEAR(B306)</f>
        <v>2023</v>
      </c>
      <c r="Q306" s="13" t="str">
        <f aca="false">"Q"&amp;ROUNDUP(MONTH(B306)/3,0)</f>
        <v>Q1</v>
      </c>
      <c r="R306" s="13" t="str">
        <f aca="false">TEXT(B306,"MMM-YYYY")</f>
        <v>Mar-2023</v>
      </c>
    </row>
    <row r="307" customFormat="false" ht="15" hidden="false" customHeight="true" outlineLevel="0" collapsed="false">
      <c r="A307" s="7" t="s">
        <v>403</v>
      </c>
      <c r="B307" s="8" t="n">
        <v>45012</v>
      </c>
      <c r="C307" s="7" t="s">
        <v>43</v>
      </c>
      <c r="D307" s="7" t="s">
        <v>16</v>
      </c>
      <c r="E307" s="7" t="s">
        <v>17</v>
      </c>
      <c r="F307" s="7" t="s">
        <v>18</v>
      </c>
      <c r="G307" s="9" t="s">
        <v>19</v>
      </c>
      <c r="H307" s="7" t="n">
        <v>10</v>
      </c>
      <c r="I307" s="10" t="n">
        <v>1213</v>
      </c>
      <c r="J307" s="10" t="n">
        <v>900</v>
      </c>
      <c r="K307" s="7" t="n">
        <v>12</v>
      </c>
      <c r="L307" s="7" t="s">
        <v>26</v>
      </c>
      <c r="M307" s="10" t="n">
        <v>12130</v>
      </c>
      <c r="N307" s="10" t="n">
        <v>3130</v>
      </c>
      <c r="O307" s="14" t="n">
        <f aca="false">N307/M307</f>
        <v>0.258037922506183</v>
      </c>
      <c r="P307" s="15" t="n">
        <f aca="false">YEAR(B307)</f>
        <v>2023</v>
      </c>
      <c r="Q307" s="15" t="str">
        <f aca="false">"Q"&amp;ROUNDUP(MONTH(B307)/3,0)</f>
        <v>Q1</v>
      </c>
      <c r="R307" s="15" t="str">
        <f aca="false">TEXT(B307,"MMM-YYYY")</f>
        <v>Mar-2023</v>
      </c>
    </row>
    <row r="308" customFormat="false" ht="15" hidden="false" customHeight="true" outlineLevel="0" collapsed="false">
      <c r="A308" s="3" t="s">
        <v>404</v>
      </c>
      <c r="B308" s="4" t="n">
        <v>45012</v>
      </c>
      <c r="C308" s="3" t="s">
        <v>111</v>
      </c>
      <c r="D308" s="3" t="s">
        <v>29</v>
      </c>
      <c r="E308" s="3" t="s">
        <v>30</v>
      </c>
      <c r="F308" s="3" t="s">
        <v>87</v>
      </c>
      <c r="G308" s="5" t="s">
        <v>88</v>
      </c>
      <c r="H308" s="3" t="n">
        <v>6</v>
      </c>
      <c r="I308" s="6" t="n">
        <v>1054</v>
      </c>
      <c r="J308" s="6" t="n">
        <v>700</v>
      </c>
      <c r="K308" s="3" t="n">
        <v>0</v>
      </c>
      <c r="L308" s="3" t="s">
        <v>26</v>
      </c>
      <c r="M308" s="6" t="n">
        <v>6324</v>
      </c>
      <c r="N308" s="6" t="n">
        <v>2124</v>
      </c>
      <c r="O308" s="12" t="n">
        <f aca="false">N308/M308</f>
        <v>0.335863377609108</v>
      </c>
      <c r="P308" s="13" t="n">
        <f aca="false">YEAR(B308)</f>
        <v>2023</v>
      </c>
      <c r="Q308" s="13" t="str">
        <f aca="false">"Q"&amp;ROUNDUP(MONTH(B308)/3,0)</f>
        <v>Q1</v>
      </c>
      <c r="R308" s="13" t="str">
        <f aca="false">TEXT(B308,"MMM-YYYY")</f>
        <v>Mar-2023</v>
      </c>
    </row>
    <row r="309" customFormat="false" ht="15" hidden="false" customHeight="true" outlineLevel="0" collapsed="false">
      <c r="A309" s="7" t="s">
        <v>405</v>
      </c>
      <c r="B309" s="8" t="n">
        <v>45014</v>
      </c>
      <c r="C309" s="7" t="s">
        <v>15</v>
      </c>
      <c r="D309" s="7" t="s">
        <v>16</v>
      </c>
      <c r="E309" s="7" t="s">
        <v>77</v>
      </c>
      <c r="F309" s="7" t="s">
        <v>180</v>
      </c>
      <c r="G309" s="9" t="s">
        <v>181</v>
      </c>
      <c r="H309" s="7" t="n">
        <v>13</v>
      </c>
      <c r="I309" s="10" t="n">
        <v>250</v>
      </c>
      <c r="J309" s="10" t="n">
        <v>180</v>
      </c>
      <c r="K309" s="7" t="n">
        <v>36</v>
      </c>
      <c r="L309" s="7" t="s">
        <v>26</v>
      </c>
      <c r="M309" s="10" t="n">
        <v>3250</v>
      </c>
      <c r="N309" s="10" t="n">
        <v>910</v>
      </c>
      <c r="O309" s="14" t="n">
        <f aca="false">N309/M309</f>
        <v>0.28</v>
      </c>
      <c r="P309" s="15" t="n">
        <f aca="false">YEAR(B309)</f>
        <v>2023</v>
      </c>
      <c r="Q309" s="15" t="str">
        <f aca="false">"Q"&amp;ROUNDUP(MONTH(B309)/3,0)</f>
        <v>Q1</v>
      </c>
      <c r="R309" s="15" t="str">
        <f aca="false">TEXT(B309,"MMM-YYYY")</f>
        <v>Mar-2023</v>
      </c>
    </row>
    <row r="310" customFormat="false" ht="15" hidden="false" customHeight="true" outlineLevel="0" collapsed="false">
      <c r="A310" s="3" t="s">
        <v>406</v>
      </c>
      <c r="B310" s="4" t="n">
        <v>45014</v>
      </c>
      <c r="C310" s="3" t="s">
        <v>28</v>
      </c>
      <c r="D310" s="3" t="s">
        <v>29</v>
      </c>
      <c r="E310" s="3" t="s">
        <v>62</v>
      </c>
      <c r="F310" s="3" t="s">
        <v>69</v>
      </c>
      <c r="G310" s="5" t="s">
        <v>70</v>
      </c>
      <c r="H310" s="3" t="n">
        <v>3</v>
      </c>
      <c r="I310" s="6" t="n">
        <v>68</v>
      </c>
      <c r="J310" s="6" t="n">
        <v>50</v>
      </c>
      <c r="K310" s="3" t="n">
        <v>26</v>
      </c>
      <c r="L310" s="3" t="s">
        <v>26</v>
      </c>
      <c r="M310" s="6" t="n">
        <v>204</v>
      </c>
      <c r="N310" s="6" t="n">
        <v>54</v>
      </c>
      <c r="O310" s="12" t="n">
        <f aca="false">N310/M310</f>
        <v>0.264705882352941</v>
      </c>
      <c r="P310" s="13" t="n">
        <f aca="false">YEAR(B310)</f>
        <v>2023</v>
      </c>
      <c r="Q310" s="13" t="str">
        <f aca="false">"Q"&amp;ROUNDUP(MONTH(B310)/3,0)</f>
        <v>Q1</v>
      </c>
      <c r="R310" s="13" t="str">
        <f aca="false">TEXT(B310,"MMM-YYYY")</f>
        <v>Mar-2023</v>
      </c>
    </row>
    <row r="311" customFormat="false" ht="15" hidden="false" customHeight="true" outlineLevel="0" collapsed="false">
      <c r="A311" s="7" t="s">
        <v>407</v>
      </c>
      <c r="B311" s="8" t="n">
        <v>45015</v>
      </c>
      <c r="C311" s="7" t="s">
        <v>47</v>
      </c>
      <c r="D311" s="7" t="s">
        <v>48</v>
      </c>
      <c r="E311" s="7" t="s">
        <v>30</v>
      </c>
      <c r="F311" s="7" t="s">
        <v>118</v>
      </c>
      <c r="G311" s="9" t="s">
        <v>119</v>
      </c>
      <c r="H311" s="7" t="n">
        <v>4</v>
      </c>
      <c r="I311" s="10" t="n">
        <v>400</v>
      </c>
      <c r="J311" s="10" t="n">
        <v>280</v>
      </c>
      <c r="K311" s="7" t="n">
        <v>32</v>
      </c>
      <c r="L311" s="7" t="s">
        <v>26</v>
      </c>
      <c r="M311" s="10" t="n">
        <v>1600</v>
      </c>
      <c r="N311" s="10" t="n">
        <v>480</v>
      </c>
      <c r="O311" s="14" t="n">
        <f aca="false">N311/M311</f>
        <v>0.3</v>
      </c>
      <c r="P311" s="15" t="n">
        <f aca="false">YEAR(B311)</f>
        <v>2023</v>
      </c>
      <c r="Q311" s="15" t="str">
        <f aca="false">"Q"&amp;ROUNDUP(MONTH(B311)/3,0)</f>
        <v>Q1</v>
      </c>
      <c r="R311" s="15" t="str">
        <f aca="false">TEXT(B311,"MMM-YYYY")</f>
        <v>Mar-2023</v>
      </c>
    </row>
    <row r="312" customFormat="false" ht="15" hidden="false" customHeight="true" outlineLevel="0" collapsed="false">
      <c r="A312" s="3" t="s">
        <v>408</v>
      </c>
      <c r="B312" s="4" t="n">
        <v>45015</v>
      </c>
      <c r="C312" s="3" t="s">
        <v>72</v>
      </c>
      <c r="D312" s="3" t="s">
        <v>35</v>
      </c>
      <c r="E312" s="3" t="s">
        <v>17</v>
      </c>
      <c r="F312" s="3" t="s">
        <v>18</v>
      </c>
      <c r="G312" s="5" t="s">
        <v>19</v>
      </c>
      <c r="H312" s="3" t="n">
        <v>4</v>
      </c>
      <c r="I312" s="6" t="n">
        <v>1320</v>
      </c>
      <c r="J312" s="6" t="n">
        <v>900</v>
      </c>
      <c r="K312" s="3" t="n">
        <v>25</v>
      </c>
      <c r="L312" s="3" t="s">
        <v>26</v>
      </c>
      <c r="M312" s="6" t="n">
        <v>5280</v>
      </c>
      <c r="N312" s="6" t="n">
        <v>1680</v>
      </c>
      <c r="O312" s="12" t="n">
        <f aca="false">N312/M312</f>
        <v>0.318181818181818</v>
      </c>
      <c r="P312" s="13" t="n">
        <f aca="false">YEAR(B312)</f>
        <v>2023</v>
      </c>
      <c r="Q312" s="13" t="str">
        <f aca="false">"Q"&amp;ROUNDUP(MONTH(B312)/3,0)</f>
        <v>Q1</v>
      </c>
      <c r="R312" s="13" t="str">
        <f aca="false">TEXT(B312,"MMM-YYYY")</f>
        <v>Mar-2023</v>
      </c>
    </row>
    <row r="313" customFormat="false" ht="15" hidden="false" customHeight="true" outlineLevel="0" collapsed="false">
      <c r="A313" s="7" t="s">
        <v>409</v>
      </c>
      <c r="B313" s="8" t="n">
        <v>45015</v>
      </c>
      <c r="C313" s="7" t="s">
        <v>111</v>
      </c>
      <c r="D313" s="7" t="s">
        <v>29</v>
      </c>
      <c r="E313" s="7" t="s">
        <v>77</v>
      </c>
      <c r="F313" s="7" t="s">
        <v>180</v>
      </c>
      <c r="G313" s="9" t="s">
        <v>181</v>
      </c>
      <c r="H313" s="7" t="n">
        <v>1</v>
      </c>
      <c r="I313" s="10" t="n">
        <v>260</v>
      </c>
      <c r="J313" s="10" t="n">
        <v>180</v>
      </c>
      <c r="K313" s="7" t="n">
        <v>22</v>
      </c>
      <c r="L313" s="7" t="s">
        <v>26</v>
      </c>
      <c r="M313" s="10" t="n">
        <v>260</v>
      </c>
      <c r="N313" s="10" t="n">
        <v>80</v>
      </c>
      <c r="O313" s="14" t="n">
        <f aca="false">N313/M313</f>
        <v>0.307692307692308</v>
      </c>
      <c r="P313" s="15" t="n">
        <f aca="false">YEAR(B313)</f>
        <v>2023</v>
      </c>
      <c r="Q313" s="15" t="str">
        <f aca="false">"Q"&amp;ROUNDUP(MONTH(B313)/3,0)</f>
        <v>Q1</v>
      </c>
      <c r="R313" s="15" t="str">
        <f aca="false">TEXT(B313,"MMM-YYYY")</f>
        <v>Mar-2023</v>
      </c>
    </row>
    <row r="314" customFormat="false" ht="15" hidden="false" customHeight="true" outlineLevel="0" collapsed="false">
      <c r="A314" s="3" t="s">
        <v>410</v>
      </c>
      <c r="B314" s="4" t="n">
        <v>45016</v>
      </c>
      <c r="C314" s="3" t="s">
        <v>15</v>
      </c>
      <c r="D314" s="3" t="s">
        <v>16</v>
      </c>
      <c r="E314" s="3" t="s">
        <v>23</v>
      </c>
      <c r="F314" s="3" t="s">
        <v>24</v>
      </c>
      <c r="G314" s="5" t="s">
        <v>25</v>
      </c>
      <c r="H314" s="3" t="n">
        <v>7</v>
      </c>
      <c r="I314" s="6" t="n">
        <v>442</v>
      </c>
      <c r="J314" s="6" t="n">
        <v>350</v>
      </c>
      <c r="K314" s="3" t="n">
        <v>37</v>
      </c>
      <c r="L314" s="3" t="s">
        <v>26</v>
      </c>
      <c r="M314" s="6" t="n">
        <v>3094</v>
      </c>
      <c r="N314" s="6" t="n">
        <v>644</v>
      </c>
      <c r="O314" s="12" t="n">
        <f aca="false">N314/M314</f>
        <v>0.208144796380091</v>
      </c>
      <c r="P314" s="13" t="n">
        <f aca="false">YEAR(B314)</f>
        <v>2023</v>
      </c>
      <c r="Q314" s="13" t="str">
        <f aca="false">"Q"&amp;ROUNDUP(MONTH(B314)/3,0)</f>
        <v>Q1</v>
      </c>
      <c r="R314" s="13" t="str">
        <f aca="false">TEXT(B314,"MMM-YYYY")</f>
        <v>Mar-2023</v>
      </c>
    </row>
    <row r="315" customFormat="false" ht="15" hidden="false" customHeight="true" outlineLevel="0" collapsed="false">
      <c r="A315" s="7" t="s">
        <v>411</v>
      </c>
      <c r="B315" s="8" t="n">
        <v>45018</v>
      </c>
      <c r="C315" s="7" t="s">
        <v>34</v>
      </c>
      <c r="D315" s="7" t="s">
        <v>35</v>
      </c>
      <c r="E315" s="7" t="s">
        <v>62</v>
      </c>
      <c r="F315" s="7" t="s">
        <v>103</v>
      </c>
      <c r="G315" s="9" t="s">
        <v>104</v>
      </c>
      <c r="H315" s="7" t="n">
        <v>9</v>
      </c>
      <c r="I315" s="10" t="n">
        <v>121</v>
      </c>
      <c r="J315" s="10" t="n">
        <v>90</v>
      </c>
      <c r="K315" s="7" t="n">
        <v>13</v>
      </c>
      <c r="L315" s="7" t="s">
        <v>26</v>
      </c>
      <c r="M315" s="10" t="n">
        <v>1089</v>
      </c>
      <c r="N315" s="10" t="n">
        <v>279</v>
      </c>
      <c r="O315" s="14" t="n">
        <f aca="false">N315/M315</f>
        <v>0.256198347107438</v>
      </c>
      <c r="P315" s="15" t="n">
        <f aca="false">YEAR(B315)</f>
        <v>2023</v>
      </c>
      <c r="Q315" s="15" t="str">
        <f aca="false">"Q"&amp;ROUNDUP(MONTH(B315)/3,0)</f>
        <v>Q2</v>
      </c>
      <c r="R315" s="15" t="str">
        <f aca="false">TEXT(B315,"MMM-YYYY")</f>
        <v>Apr-2023</v>
      </c>
    </row>
    <row r="316" customFormat="false" ht="15" hidden="false" customHeight="true" outlineLevel="0" collapsed="false">
      <c r="A316" s="3" t="s">
        <v>412</v>
      </c>
      <c r="B316" s="4" t="n">
        <v>45018</v>
      </c>
      <c r="C316" s="3" t="s">
        <v>72</v>
      </c>
      <c r="D316" s="3" t="s">
        <v>35</v>
      </c>
      <c r="E316" s="3" t="s">
        <v>62</v>
      </c>
      <c r="F316" s="3" t="s">
        <v>63</v>
      </c>
      <c r="G316" s="5" t="s">
        <v>64</v>
      </c>
      <c r="H316" s="3" t="n">
        <v>9</v>
      </c>
      <c r="I316" s="6" t="n">
        <v>77</v>
      </c>
      <c r="J316" s="6" t="n">
        <v>60</v>
      </c>
      <c r="K316" s="3" t="n">
        <v>38</v>
      </c>
      <c r="L316" s="3" t="s">
        <v>26</v>
      </c>
      <c r="M316" s="6" t="n">
        <v>693</v>
      </c>
      <c r="N316" s="6" t="n">
        <v>153</v>
      </c>
      <c r="O316" s="12" t="n">
        <f aca="false">N316/M316</f>
        <v>0.220779220779221</v>
      </c>
      <c r="P316" s="13" t="n">
        <f aca="false">YEAR(B316)</f>
        <v>2023</v>
      </c>
      <c r="Q316" s="13" t="str">
        <f aca="false">"Q"&amp;ROUNDUP(MONTH(B316)/3,0)</f>
        <v>Q2</v>
      </c>
      <c r="R316" s="13" t="str">
        <f aca="false">TEXT(B316,"MMM-YYYY")</f>
        <v>Apr-2023</v>
      </c>
    </row>
    <row r="317" customFormat="false" ht="15" hidden="false" customHeight="true" outlineLevel="0" collapsed="false">
      <c r="A317" s="7" t="s">
        <v>413</v>
      </c>
      <c r="B317" s="8" t="n">
        <v>45023</v>
      </c>
      <c r="C317" s="7" t="s">
        <v>94</v>
      </c>
      <c r="D317" s="7" t="s">
        <v>48</v>
      </c>
      <c r="E317" s="7" t="s">
        <v>77</v>
      </c>
      <c r="F317" s="7" t="s">
        <v>152</v>
      </c>
      <c r="G317" s="9" t="s">
        <v>153</v>
      </c>
      <c r="H317" s="7" t="n">
        <v>8</v>
      </c>
      <c r="I317" s="10" t="n">
        <v>474</v>
      </c>
      <c r="J317" s="10" t="n">
        <v>350</v>
      </c>
      <c r="K317" s="7" t="n">
        <v>15</v>
      </c>
      <c r="L317" s="7" t="s">
        <v>26</v>
      </c>
      <c r="M317" s="10" t="n">
        <v>3792</v>
      </c>
      <c r="N317" s="10" t="n">
        <v>992</v>
      </c>
      <c r="O317" s="14" t="n">
        <f aca="false">N317/M317</f>
        <v>0.261603375527426</v>
      </c>
      <c r="P317" s="15" t="n">
        <f aca="false">YEAR(B317)</f>
        <v>2023</v>
      </c>
      <c r="Q317" s="15" t="str">
        <f aca="false">"Q"&amp;ROUNDUP(MONTH(B317)/3,0)</f>
        <v>Q2</v>
      </c>
      <c r="R317" s="15" t="str">
        <f aca="false">TEXT(B317,"MMM-YYYY")</f>
        <v>Apr-2023</v>
      </c>
    </row>
    <row r="318" customFormat="false" ht="15" hidden="false" customHeight="true" outlineLevel="0" collapsed="false">
      <c r="A318" s="3" t="s">
        <v>414</v>
      </c>
      <c r="B318" s="4" t="n">
        <v>45023</v>
      </c>
      <c r="C318" s="3" t="s">
        <v>58</v>
      </c>
      <c r="D318" s="3" t="s">
        <v>48</v>
      </c>
      <c r="E318" s="3" t="s">
        <v>77</v>
      </c>
      <c r="F318" s="3" t="s">
        <v>152</v>
      </c>
      <c r="G318" s="5" t="s">
        <v>153</v>
      </c>
      <c r="H318" s="3" t="n">
        <v>8</v>
      </c>
      <c r="I318" s="6" t="n">
        <v>486</v>
      </c>
      <c r="J318" s="6" t="n">
        <v>350</v>
      </c>
      <c r="K318" s="3" t="n">
        <v>3</v>
      </c>
      <c r="L318" s="3" t="s">
        <v>20</v>
      </c>
      <c r="M318" s="6" t="n">
        <v>3888</v>
      </c>
      <c r="N318" s="6" t="n">
        <v>1088</v>
      </c>
      <c r="O318" s="12" t="n">
        <f aca="false">N318/M318</f>
        <v>0.279835390946502</v>
      </c>
      <c r="P318" s="13" t="n">
        <f aca="false">YEAR(B318)</f>
        <v>2023</v>
      </c>
      <c r="Q318" s="13" t="str">
        <f aca="false">"Q"&amp;ROUNDUP(MONTH(B318)/3,0)</f>
        <v>Q2</v>
      </c>
      <c r="R318" s="13" t="str">
        <f aca="false">TEXT(B318,"MMM-YYYY")</f>
        <v>Apr-2023</v>
      </c>
    </row>
    <row r="319" customFormat="false" ht="15" hidden="false" customHeight="true" outlineLevel="0" collapsed="false">
      <c r="A319" s="7" t="s">
        <v>415</v>
      </c>
      <c r="B319" s="8" t="n">
        <v>45024</v>
      </c>
      <c r="C319" s="7" t="s">
        <v>28</v>
      </c>
      <c r="D319" s="7" t="s">
        <v>29</v>
      </c>
      <c r="E319" s="7" t="s">
        <v>77</v>
      </c>
      <c r="F319" s="7" t="s">
        <v>152</v>
      </c>
      <c r="G319" s="9" t="s">
        <v>153</v>
      </c>
      <c r="H319" s="7" t="n">
        <v>7</v>
      </c>
      <c r="I319" s="10" t="n">
        <v>493</v>
      </c>
      <c r="J319" s="10" t="n">
        <v>350</v>
      </c>
      <c r="K319" s="7" t="n">
        <v>34</v>
      </c>
      <c r="L319" s="7" t="s">
        <v>26</v>
      </c>
      <c r="M319" s="10" t="n">
        <v>3451</v>
      </c>
      <c r="N319" s="10" t="n">
        <v>1001</v>
      </c>
      <c r="O319" s="14" t="n">
        <f aca="false">N319/M319</f>
        <v>0.290060851926978</v>
      </c>
      <c r="P319" s="15" t="n">
        <f aca="false">YEAR(B319)</f>
        <v>2023</v>
      </c>
      <c r="Q319" s="15" t="str">
        <f aca="false">"Q"&amp;ROUNDUP(MONTH(B319)/3,0)</f>
        <v>Q2</v>
      </c>
      <c r="R319" s="15" t="str">
        <f aca="false">TEXT(B319,"MMM-YYYY")</f>
        <v>Apr-2023</v>
      </c>
    </row>
    <row r="320" customFormat="false" ht="15" hidden="false" customHeight="true" outlineLevel="0" collapsed="false">
      <c r="A320" s="3" t="s">
        <v>416</v>
      </c>
      <c r="B320" s="4" t="n">
        <v>45025</v>
      </c>
      <c r="C320" s="3" t="s">
        <v>111</v>
      </c>
      <c r="D320" s="3" t="s">
        <v>29</v>
      </c>
      <c r="E320" s="3" t="s">
        <v>62</v>
      </c>
      <c r="F320" s="3" t="s">
        <v>96</v>
      </c>
      <c r="G320" s="5" t="s">
        <v>97</v>
      </c>
      <c r="H320" s="3" t="n">
        <v>5</v>
      </c>
      <c r="I320" s="6" t="n">
        <v>110</v>
      </c>
      <c r="J320" s="6" t="n">
        <v>80</v>
      </c>
      <c r="K320" s="3" t="n">
        <v>7</v>
      </c>
      <c r="L320" s="3" t="s">
        <v>20</v>
      </c>
      <c r="M320" s="6" t="n">
        <v>550</v>
      </c>
      <c r="N320" s="6" t="n">
        <v>150</v>
      </c>
      <c r="O320" s="12" t="n">
        <f aca="false">N320/M320</f>
        <v>0.272727272727273</v>
      </c>
      <c r="P320" s="13" t="n">
        <f aca="false">YEAR(B320)</f>
        <v>2023</v>
      </c>
      <c r="Q320" s="13" t="str">
        <f aca="false">"Q"&amp;ROUNDUP(MONTH(B320)/3,0)</f>
        <v>Q2</v>
      </c>
      <c r="R320" s="13" t="str">
        <f aca="false">TEXT(B320,"MMM-YYYY")</f>
        <v>Apr-2023</v>
      </c>
    </row>
    <row r="321" customFormat="false" ht="15" hidden="false" customHeight="true" outlineLevel="0" collapsed="false">
      <c r="A321" s="7" t="s">
        <v>417</v>
      </c>
      <c r="B321" s="8" t="n">
        <v>45026</v>
      </c>
      <c r="C321" s="7" t="s">
        <v>47</v>
      </c>
      <c r="D321" s="7" t="s">
        <v>48</v>
      </c>
      <c r="E321" s="7" t="s">
        <v>30</v>
      </c>
      <c r="F321" s="7" t="s">
        <v>31</v>
      </c>
      <c r="G321" s="9" t="s">
        <v>32</v>
      </c>
      <c r="H321" s="7" t="n">
        <v>15</v>
      </c>
      <c r="I321" s="10" t="n">
        <v>1738</v>
      </c>
      <c r="J321" s="10" t="n">
        <v>1200</v>
      </c>
      <c r="K321" s="7" t="n">
        <v>34</v>
      </c>
      <c r="L321" s="7" t="s">
        <v>26</v>
      </c>
      <c r="M321" s="10" t="n">
        <v>26070</v>
      </c>
      <c r="N321" s="10" t="n">
        <v>8070</v>
      </c>
      <c r="O321" s="14" t="n">
        <f aca="false">N321/M321</f>
        <v>0.309551208285386</v>
      </c>
      <c r="P321" s="15" t="n">
        <f aca="false">YEAR(B321)</f>
        <v>2023</v>
      </c>
      <c r="Q321" s="15" t="str">
        <f aca="false">"Q"&amp;ROUNDUP(MONTH(B321)/3,0)</f>
        <v>Q2</v>
      </c>
      <c r="R321" s="15" t="str">
        <f aca="false">TEXT(B321,"MMM-YYYY")</f>
        <v>Apr-2023</v>
      </c>
    </row>
    <row r="322" customFormat="false" ht="15" hidden="false" customHeight="true" outlineLevel="0" collapsed="false">
      <c r="A322" s="3" t="s">
        <v>418</v>
      </c>
      <c r="B322" s="4" t="n">
        <v>45029</v>
      </c>
      <c r="C322" s="3" t="s">
        <v>43</v>
      </c>
      <c r="D322" s="3" t="s">
        <v>16</v>
      </c>
      <c r="E322" s="3" t="s">
        <v>62</v>
      </c>
      <c r="F322" s="3" t="s">
        <v>103</v>
      </c>
      <c r="G322" s="5" t="s">
        <v>104</v>
      </c>
      <c r="H322" s="3" t="n">
        <v>4</v>
      </c>
      <c r="I322" s="6" t="n">
        <v>116</v>
      </c>
      <c r="J322" s="6" t="n">
        <v>90</v>
      </c>
      <c r="K322" s="3" t="n">
        <v>9</v>
      </c>
      <c r="L322" s="3" t="s">
        <v>26</v>
      </c>
      <c r="M322" s="6" t="n">
        <v>464</v>
      </c>
      <c r="N322" s="6" t="n">
        <v>104</v>
      </c>
      <c r="O322" s="12" t="n">
        <f aca="false">N322/M322</f>
        <v>0.224137931034483</v>
      </c>
      <c r="P322" s="13" t="n">
        <f aca="false">YEAR(B322)</f>
        <v>2023</v>
      </c>
      <c r="Q322" s="13" t="str">
        <f aca="false">"Q"&amp;ROUNDUP(MONTH(B322)/3,0)</f>
        <v>Q2</v>
      </c>
      <c r="R322" s="13" t="str">
        <f aca="false">TEXT(B322,"MMM-YYYY")</f>
        <v>Apr-2023</v>
      </c>
    </row>
    <row r="323" customFormat="false" ht="15" hidden="false" customHeight="true" outlineLevel="0" collapsed="false">
      <c r="A323" s="7" t="s">
        <v>419</v>
      </c>
      <c r="B323" s="8" t="n">
        <v>45030</v>
      </c>
      <c r="C323" s="7" t="s">
        <v>47</v>
      </c>
      <c r="D323" s="7" t="s">
        <v>48</v>
      </c>
      <c r="E323" s="7" t="s">
        <v>77</v>
      </c>
      <c r="F323" s="7" t="s">
        <v>180</v>
      </c>
      <c r="G323" s="9" t="s">
        <v>181</v>
      </c>
      <c r="H323" s="7" t="n">
        <v>7</v>
      </c>
      <c r="I323" s="10" t="n">
        <v>242</v>
      </c>
      <c r="J323" s="10" t="n">
        <v>180</v>
      </c>
      <c r="K323" s="7" t="n">
        <v>48</v>
      </c>
      <c r="L323" s="7" t="s">
        <v>26</v>
      </c>
      <c r="M323" s="10" t="n">
        <v>1694</v>
      </c>
      <c r="N323" s="10" t="n">
        <v>434</v>
      </c>
      <c r="O323" s="14" t="n">
        <f aca="false">N323/M323</f>
        <v>0.256198347107438</v>
      </c>
      <c r="P323" s="15" t="n">
        <f aca="false">YEAR(B323)</f>
        <v>2023</v>
      </c>
      <c r="Q323" s="15" t="str">
        <f aca="false">"Q"&amp;ROUNDUP(MONTH(B323)/3,0)</f>
        <v>Q2</v>
      </c>
      <c r="R323" s="15" t="str">
        <f aca="false">TEXT(B323,"MMM-YYYY")</f>
        <v>Apr-2023</v>
      </c>
    </row>
    <row r="324" customFormat="false" ht="15" hidden="false" customHeight="true" outlineLevel="0" collapsed="false">
      <c r="A324" s="3" t="s">
        <v>420</v>
      </c>
      <c r="B324" s="4" t="n">
        <v>45030</v>
      </c>
      <c r="C324" s="3" t="s">
        <v>47</v>
      </c>
      <c r="D324" s="3" t="s">
        <v>48</v>
      </c>
      <c r="E324" s="3" t="s">
        <v>30</v>
      </c>
      <c r="F324" s="3" t="s">
        <v>118</v>
      </c>
      <c r="G324" s="5" t="s">
        <v>119</v>
      </c>
      <c r="H324" s="3" t="n">
        <v>8</v>
      </c>
      <c r="I324" s="6" t="n">
        <v>426</v>
      </c>
      <c r="J324" s="6" t="n">
        <v>280</v>
      </c>
      <c r="K324" s="3" t="n">
        <v>2</v>
      </c>
      <c r="L324" s="3" t="s">
        <v>26</v>
      </c>
      <c r="M324" s="6" t="n">
        <v>3408</v>
      </c>
      <c r="N324" s="6" t="n">
        <v>1168</v>
      </c>
      <c r="O324" s="12" t="n">
        <f aca="false">N324/M324</f>
        <v>0.342723004694836</v>
      </c>
      <c r="P324" s="13" t="n">
        <f aca="false">YEAR(B324)</f>
        <v>2023</v>
      </c>
      <c r="Q324" s="13" t="str">
        <f aca="false">"Q"&amp;ROUNDUP(MONTH(B324)/3,0)</f>
        <v>Q2</v>
      </c>
      <c r="R324" s="13" t="str">
        <f aca="false">TEXT(B324,"MMM-YYYY")</f>
        <v>Apr-2023</v>
      </c>
    </row>
    <row r="325" customFormat="false" ht="15" hidden="false" customHeight="true" outlineLevel="0" collapsed="false">
      <c r="A325" s="7" t="s">
        <v>421</v>
      </c>
      <c r="B325" s="8" t="n">
        <v>45030</v>
      </c>
      <c r="C325" s="7" t="s">
        <v>15</v>
      </c>
      <c r="D325" s="7" t="s">
        <v>16</v>
      </c>
      <c r="E325" s="7" t="s">
        <v>30</v>
      </c>
      <c r="F325" s="7" t="s">
        <v>126</v>
      </c>
      <c r="G325" s="9" t="s">
        <v>127</v>
      </c>
      <c r="H325" s="7" t="n">
        <v>6</v>
      </c>
      <c r="I325" s="10" t="n">
        <v>609</v>
      </c>
      <c r="J325" s="10" t="n">
        <v>400</v>
      </c>
      <c r="K325" s="7" t="n">
        <v>42</v>
      </c>
      <c r="L325" s="7" t="s">
        <v>26</v>
      </c>
      <c r="M325" s="10" t="n">
        <v>3654</v>
      </c>
      <c r="N325" s="10" t="n">
        <v>1254</v>
      </c>
      <c r="O325" s="14" t="n">
        <f aca="false">N325/M325</f>
        <v>0.343185550082102</v>
      </c>
      <c r="P325" s="15" t="n">
        <f aca="false">YEAR(B325)</f>
        <v>2023</v>
      </c>
      <c r="Q325" s="15" t="str">
        <f aca="false">"Q"&amp;ROUNDUP(MONTH(B325)/3,0)</f>
        <v>Q2</v>
      </c>
      <c r="R325" s="15" t="str">
        <f aca="false">TEXT(B325,"MMM-YYYY")</f>
        <v>Apr-2023</v>
      </c>
    </row>
    <row r="326" customFormat="false" ht="15" hidden="false" customHeight="true" outlineLevel="0" collapsed="false">
      <c r="A326" s="3" t="s">
        <v>422</v>
      </c>
      <c r="B326" s="4" t="n">
        <v>45031</v>
      </c>
      <c r="C326" s="3" t="s">
        <v>94</v>
      </c>
      <c r="D326" s="3" t="s">
        <v>48</v>
      </c>
      <c r="E326" s="3" t="s">
        <v>23</v>
      </c>
      <c r="F326" s="3" t="s">
        <v>24</v>
      </c>
      <c r="G326" s="5" t="s">
        <v>25</v>
      </c>
      <c r="H326" s="3" t="n">
        <v>10</v>
      </c>
      <c r="I326" s="6" t="n">
        <v>427</v>
      </c>
      <c r="J326" s="6" t="n">
        <v>350</v>
      </c>
      <c r="K326" s="3" t="n">
        <v>48</v>
      </c>
      <c r="L326" s="3" t="s">
        <v>20</v>
      </c>
      <c r="M326" s="6" t="n">
        <v>4270</v>
      </c>
      <c r="N326" s="6" t="n">
        <v>770</v>
      </c>
      <c r="O326" s="12" t="n">
        <f aca="false">N326/M326</f>
        <v>0.180327868852459</v>
      </c>
      <c r="P326" s="13" t="n">
        <f aca="false">YEAR(B326)</f>
        <v>2023</v>
      </c>
      <c r="Q326" s="13" t="str">
        <f aca="false">"Q"&amp;ROUNDUP(MONTH(B326)/3,0)</f>
        <v>Q2</v>
      </c>
      <c r="R326" s="13" t="str">
        <f aca="false">TEXT(B326,"MMM-YYYY")</f>
        <v>Apr-2023</v>
      </c>
    </row>
    <row r="327" customFormat="false" ht="15" hidden="false" customHeight="true" outlineLevel="0" collapsed="false">
      <c r="A327" s="7" t="s">
        <v>423</v>
      </c>
      <c r="B327" s="8" t="n">
        <v>45033</v>
      </c>
      <c r="C327" s="7" t="s">
        <v>43</v>
      </c>
      <c r="D327" s="7" t="s">
        <v>16</v>
      </c>
      <c r="E327" s="7" t="s">
        <v>77</v>
      </c>
      <c r="F327" s="7" t="s">
        <v>81</v>
      </c>
      <c r="G327" s="9" t="s">
        <v>82</v>
      </c>
      <c r="H327" s="7" t="n">
        <v>1</v>
      </c>
      <c r="I327" s="10" t="n">
        <v>818</v>
      </c>
      <c r="J327" s="10" t="n">
        <v>600</v>
      </c>
      <c r="K327" s="7" t="n">
        <v>4</v>
      </c>
      <c r="L327" s="7" t="s">
        <v>26</v>
      </c>
      <c r="M327" s="10" t="n">
        <v>818</v>
      </c>
      <c r="N327" s="10" t="n">
        <v>218</v>
      </c>
      <c r="O327" s="14" t="n">
        <f aca="false">N327/M327</f>
        <v>0.266503667481663</v>
      </c>
      <c r="P327" s="15" t="n">
        <f aca="false">YEAR(B327)</f>
        <v>2023</v>
      </c>
      <c r="Q327" s="15" t="str">
        <f aca="false">"Q"&amp;ROUNDUP(MONTH(B327)/3,0)</f>
        <v>Q2</v>
      </c>
      <c r="R327" s="15" t="str">
        <f aca="false">TEXT(B327,"MMM-YYYY")</f>
        <v>Apr-2023</v>
      </c>
    </row>
    <row r="328" customFormat="false" ht="15" hidden="false" customHeight="true" outlineLevel="0" collapsed="false">
      <c r="A328" s="3" t="s">
        <v>424</v>
      </c>
      <c r="B328" s="4" t="n">
        <v>45033</v>
      </c>
      <c r="C328" s="3" t="s">
        <v>28</v>
      </c>
      <c r="D328" s="3" t="s">
        <v>29</v>
      </c>
      <c r="E328" s="3" t="s">
        <v>77</v>
      </c>
      <c r="F328" s="3" t="s">
        <v>180</v>
      </c>
      <c r="G328" s="5" t="s">
        <v>181</v>
      </c>
      <c r="H328" s="3" t="n">
        <v>14</v>
      </c>
      <c r="I328" s="6" t="n">
        <v>242</v>
      </c>
      <c r="J328" s="6" t="n">
        <v>180</v>
      </c>
      <c r="K328" s="3" t="n">
        <v>47</v>
      </c>
      <c r="L328" s="3" t="s">
        <v>26</v>
      </c>
      <c r="M328" s="6" t="n">
        <v>3388</v>
      </c>
      <c r="N328" s="6" t="n">
        <v>868</v>
      </c>
      <c r="O328" s="12" t="n">
        <f aca="false">N328/M328</f>
        <v>0.256198347107438</v>
      </c>
      <c r="P328" s="13" t="n">
        <f aca="false">YEAR(B328)</f>
        <v>2023</v>
      </c>
      <c r="Q328" s="13" t="str">
        <f aca="false">"Q"&amp;ROUNDUP(MONTH(B328)/3,0)</f>
        <v>Q2</v>
      </c>
      <c r="R328" s="13" t="str">
        <f aca="false">TEXT(B328,"MMM-YYYY")</f>
        <v>Apr-2023</v>
      </c>
    </row>
    <row r="329" customFormat="false" ht="15" hidden="false" customHeight="true" outlineLevel="0" collapsed="false">
      <c r="A329" s="7" t="s">
        <v>425</v>
      </c>
      <c r="B329" s="8" t="n">
        <v>45034</v>
      </c>
      <c r="C329" s="7" t="s">
        <v>22</v>
      </c>
      <c r="D329" s="7" t="s">
        <v>16</v>
      </c>
      <c r="E329" s="7" t="s">
        <v>30</v>
      </c>
      <c r="F329" s="7" t="s">
        <v>118</v>
      </c>
      <c r="G329" s="9" t="s">
        <v>119</v>
      </c>
      <c r="H329" s="7" t="n">
        <v>2</v>
      </c>
      <c r="I329" s="10" t="n">
        <v>419</v>
      </c>
      <c r="J329" s="10" t="n">
        <v>280</v>
      </c>
      <c r="K329" s="7" t="n">
        <v>0</v>
      </c>
      <c r="L329" s="7" t="s">
        <v>26</v>
      </c>
      <c r="M329" s="10" t="n">
        <v>838</v>
      </c>
      <c r="N329" s="10" t="n">
        <v>278</v>
      </c>
      <c r="O329" s="14" t="n">
        <f aca="false">N329/M329</f>
        <v>0.331742243436754</v>
      </c>
      <c r="P329" s="15" t="n">
        <f aca="false">YEAR(B329)</f>
        <v>2023</v>
      </c>
      <c r="Q329" s="15" t="str">
        <f aca="false">"Q"&amp;ROUNDUP(MONTH(B329)/3,0)</f>
        <v>Q2</v>
      </c>
      <c r="R329" s="15" t="str">
        <f aca="false">TEXT(B329,"MMM-YYYY")</f>
        <v>Apr-2023</v>
      </c>
    </row>
    <row r="330" customFormat="false" ht="15" hidden="false" customHeight="true" outlineLevel="0" collapsed="false">
      <c r="A330" s="3" t="s">
        <v>426</v>
      </c>
      <c r="B330" s="4" t="n">
        <v>45037</v>
      </c>
      <c r="C330" s="3" t="s">
        <v>34</v>
      </c>
      <c r="D330" s="3" t="s">
        <v>35</v>
      </c>
      <c r="E330" s="3" t="s">
        <v>30</v>
      </c>
      <c r="F330" s="3" t="s">
        <v>31</v>
      </c>
      <c r="G330" s="5" t="s">
        <v>32</v>
      </c>
      <c r="H330" s="3" t="n">
        <v>9</v>
      </c>
      <c r="I330" s="6" t="n">
        <v>1734</v>
      </c>
      <c r="J330" s="6" t="n">
        <v>1200</v>
      </c>
      <c r="K330" s="3" t="n">
        <v>13</v>
      </c>
      <c r="L330" s="3" t="s">
        <v>20</v>
      </c>
      <c r="M330" s="6" t="n">
        <v>15606</v>
      </c>
      <c r="N330" s="6" t="n">
        <v>4806</v>
      </c>
      <c r="O330" s="12" t="n">
        <f aca="false">N330/M330</f>
        <v>0.307958477508651</v>
      </c>
      <c r="P330" s="13" t="n">
        <f aca="false">YEAR(B330)</f>
        <v>2023</v>
      </c>
      <c r="Q330" s="13" t="str">
        <f aca="false">"Q"&amp;ROUNDUP(MONTH(B330)/3,0)</f>
        <v>Q2</v>
      </c>
      <c r="R330" s="13" t="str">
        <f aca="false">TEXT(B330,"MMM-YYYY")</f>
        <v>Apr-2023</v>
      </c>
    </row>
    <row r="331" customFormat="false" ht="15" hidden="false" customHeight="true" outlineLevel="0" collapsed="false">
      <c r="A331" s="7" t="s">
        <v>427</v>
      </c>
      <c r="B331" s="8" t="n">
        <v>45038</v>
      </c>
      <c r="C331" s="7" t="s">
        <v>15</v>
      </c>
      <c r="D331" s="7" t="s">
        <v>16</v>
      </c>
      <c r="E331" s="7" t="s">
        <v>39</v>
      </c>
      <c r="F331" s="7" t="s">
        <v>161</v>
      </c>
      <c r="G331" s="9" t="s">
        <v>162</v>
      </c>
      <c r="H331" s="7" t="n">
        <v>13</v>
      </c>
      <c r="I331" s="10" t="n">
        <v>401</v>
      </c>
      <c r="J331" s="10" t="n">
        <v>350</v>
      </c>
      <c r="K331" s="7" t="n">
        <v>44</v>
      </c>
      <c r="L331" s="7" t="s">
        <v>26</v>
      </c>
      <c r="M331" s="10" t="n">
        <v>5213</v>
      </c>
      <c r="N331" s="10" t="n">
        <v>663</v>
      </c>
      <c r="O331" s="14" t="n">
        <f aca="false">N331/M331</f>
        <v>0.127182044887781</v>
      </c>
      <c r="P331" s="15" t="n">
        <f aca="false">YEAR(B331)</f>
        <v>2023</v>
      </c>
      <c r="Q331" s="15" t="str">
        <f aca="false">"Q"&amp;ROUNDUP(MONTH(B331)/3,0)</f>
        <v>Q2</v>
      </c>
      <c r="R331" s="15" t="str">
        <f aca="false">TEXT(B331,"MMM-YYYY")</f>
        <v>Apr-2023</v>
      </c>
    </row>
    <row r="332" customFormat="false" ht="15" hidden="false" customHeight="true" outlineLevel="0" collapsed="false">
      <c r="A332" s="3" t="s">
        <v>428</v>
      </c>
      <c r="B332" s="4" t="n">
        <v>45038</v>
      </c>
      <c r="C332" s="3" t="s">
        <v>43</v>
      </c>
      <c r="D332" s="3" t="s">
        <v>16</v>
      </c>
      <c r="E332" s="3" t="s">
        <v>30</v>
      </c>
      <c r="F332" s="3" t="s">
        <v>118</v>
      </c>
      <c r="G332" s="5" t="s">
        <v>119</v>
      </c>
      <c r="H332" s="3" t="n">
        <v>8</v>
      </c>
      <c r="I332" s="6" t="n">
        <v>412</v>
      </c>
      <c r="J332" s="6" t="n">
        <v>280</v>
      </c>
      <c r="K332" s="3" t="n">
        <v>0</v>
      </c>
      <c r="L332" s="3" t="s">
        <v>26</v>
      </c>
      <c r="M332" s="6" t="n">
        <v>3296</v>
      </c>
      <c r="N332" s="6" t="n">
        <v>1056</v>
      </c>
      <c r="O332" s="12" t="n">
        <f aca="false">N332/M332</f>
        <v>0.320388349514563</v>
      </c>
      <c r="P332" s="13" t="n">
        <f aca="false">YEAR(B332)</f>
        <v>2023</v>
      </c>
      <c r="Q332" s="13" t="str">
        <f aca="false">"Q"&amp;ROUNDUP(MONTH(B332)/3,0)</f>
        <v>Q2</v>
      </c>
      <c r="R332" s="13" t="str">
        <f aca="false">TEXT(B332,"MMM-YYYY")</f>
        <v>Apr-2023</v>
      </c>
    </row>
    <row r="333" customFormat="false" ht="15" hidden="false" customHeight="true" outlineLevel="0" collapsed="false">
      <c r="A333" s="7" t="s">
        <v>429</v>
      </c>
      <c r="B333" s="8" t="n">
        <v>45039</v>
      </c>
      <c r="C333" s="7" t="s">
        <v>58</v>
      </c>
      <c r="D333" s="7" t="s">
        <v>48</v>
      </c>
      <c r="E333" s="7" t="s">
        <v>77</v>
      </c>
      <c r="F333" s="7" t="s">
        <v>180</v>
      </c>
      <c r="G333" s="9" t="s">
        <v>181</v>
      </c>
      <c r="H333" s="7" t="n">
        <v>7</v>
      </c>
      <c r="I333" s="10" t="n">
        <v>247</v>
      </c>
      <c r="J333" s="10" t="n">
        <v>180</v>
      </c>
      <c r="K333" s="7" t="n">
        <v>35</v>
      </c>
      <c r="L333" s="7" t="s">
        <v>26</v>
      </c>
      <c r="M333" s="10" t="n">
        <v>1729</v>
      </c>
      <c r="N333" s="10" t="n">
        <v>469</v>
      </c>
      <c r="O333" s="14" t="n">
        <f aca="false">N333/M333</f>
        <v>0.271255060728745</v>
      </c>
      <c r="P333" s="15" t="n">
        <f aca="false">YEAR(B333)</f>
        <v>2023</v>
      </c>
      <c r="Q333" s="15" t="str">
        <f aca="false">"Q"&amp;ROUNDUP(MONTH(B333)/3,0)</f>
        <v>Q2</v>
      </c>
      <c r="R333" s="15" t="str">
        <f aca="false">TEXT(B333,"MMM-YYYY")</f>
        <v>Apr-2023</v>
      </c>
    </row>
    <row r="334" customFormat="false" ht="15" hidden="false" customHeight="true" outlineLevel="0" collapsed="false">
      <c r="A334" s="3" t="s">
        <v>430</v>
      </c>
      <c r="B334" s="4" t="n">
        <v>45041</v>
      </c>
      <c r="C334" s="3" t="s">
        <v>22</v>
      </c>
      <c r="D334" s="3" t="s">
        <v>16</v>
      </c>
      <c r="E334" s="3" t="s">
        <v>23</v>
      </c>
      <c r="F334" s="3" t="s">
        <v>204</v>
      </c>
      <c r="G334" s="5" t="s">
        <v>205</v>
      </c>
      <c r="H334" s="3" t="n">
        <v>10</v>
      </c>
      <c r="I334" s="6" t="n">
        <v>2260</v>
      </c>
      <c r="J334" s="6" t="n">
        <v>1800</v>
      </c>
      <c r="K334" s="3" t="n">
        <v>24</v>
      </c>
      <c r="L334" s="3" t="s">
        <v>20</v>
      </c>
      <c r="M334" s="6" t="n">
        <v>22600</v>
      </c>
      <c r="N334" s="6" t="n">
        <v>4600</v>
      </c>
      <c r="O334" s="12" t="n">
        <f aca="false">N334/M334</f>
        <v>0.20353982300885</v>
      </c>
      <c r="P334" s="13" t="n">
        <f aca="false">YEAR(B334)</f>
        <v>2023</v>
      </c>
      <c r="Q334" s="13" t="str">
        <f aca="false">"Q"&amp;ROUNDUP(MONTH(B334)/3,0)</f>
        <v>Q2</v>
      </c>
      <c r="R334" s="13" t="str">
        <f aca="false">TEXT(B334,"MMM-YYYY")</f>
        <v>Apr-2023</v>
      </c>
    </row>
    <row r="335" customFormat="false" ht="15" hidden="false" customHeight="true" outlineLevel="0" collapsed="false">
      <c r="A335" s="7" t="s">
        <v>431</v>
      </c>
      <c r="B335" s="8" t="n">
        <v>45045</v>
      </c>
      <c r="C335" s="7" t="s">
        <v>58</v>
      </c>
      <c r="D335" s="7" t="s">
        <v>48</v>
      </c>
      <c r="E335" s="7" t="s">
        <v>77</v>
      </c>
      <c r="F335" s="7" t="s">
        <v>180</v>
      </c>
      <c r="G335" s="9" t="s">
        <v>181</v>
      </c>
      <c r="H335" s="7" t="n">
        <v>3</v>
      </c>
      <c r="I335" s="10" t="n">
        <v>256</v>
      </c>
      <c r="J335" s="10" t="n">
        <v>180</v>
      </c>
      <c r="K335" s="7" t="n">
        <v>24</v>
      </c>
      <c r="L335" s="7" t="s">
        <v>20</v>
      </c>
      <c r="M335" s="10" t="n">
        <v>768</v>
      </c>
      <c r="N335" s="10" t="n">
        <v>228</v>
      </c>
      <c r="O335" s="14" t="n">
        <f aca="false">N335/M335</f>
        <v>0.296875</v>
      </c>
      <c r="P335" s="15" t="n">
        <f aca="false">YEAR(B335)</f>
        <v>2023</v>
      </c>
      <c r="Q335" s="15" t="str">
        <f aca="false">"Q"&amp;ROUNDUP(MONTH(B335)/3,0)</f>
        <v>Q2</v>
      </c>
      <c r="R335" s="15" t="str">
        <f aca="false">TEXT(B335,"MMM-YYYY")</f>
        <v>Apr-2023</v>
      </c>
    </row>
    <row r="336" customFormat="false" ht="15" hidden="false" customHeight="true" outlineLevel="0" collapsed="false">
      <c r="A336" s="3" t="s">
        <v>432</v>
      </c>
      <c r="B336" s="4" t="n">
        <v>45045</v>
      </c>
      <c r="C336" s="3" t="s">
        <v>94</v>
      </c>
      <c r="D336" s="3" t="s">
        <v>48</v>
      </c>
      <c r="E336" s="3" t="s">
        <v>30</v>
      </c>
      <c r="F336" s="3" t="s">
        <v>36</v>
      </c>
      <c r="G336" s="5" t="s">
        <v>37</v>
      </c>
      <c r="H336" s="3" t="n">
        <v>13</v>
      </c>
      <c r="I336" s="6" t="n">
        <v>678</v>
      </c>
      <c r="J336" s="6" t="n">
        <v>450</v>
      </c>
      <c r="K336" s="3" t="n">
        <v>9</v>
      </c>
      <c r="L336" s="3" t="s">
        <v>20</v>
      </c>
      <c r="M336" s="6" t="n">
        <v>8814</v>
      </c>
      <c r="N336" s="6" t="n">
        <v>2964</v>
      </c>
      <c r="O336" s="12" t="n">
        <f aca="false">N336/M336</f>
        <v>0.336283185840708</v>
      </c>
      <c r="P336" s="13" t="n">
        <f aca="false">YEAR(B336)</f>
        <v>2023</v>
      </c>
      <c r="Q336" s="13" t="str">
        <f aca="false">"Q"&amp;ROUNDUP(MONTH(B336)/3,0)</f>
        <v>Q2</v>
      </c>
      <c r="R336" s="13" t="str">
        <f aca="false">TEXT(B336,"MMM-YYYY")</f>
        <v>Apr-2023</v>
      </c>
    </row>
    <row r="337" customFormat="false" ht="15" hidden="false" customHeight="true" outlineLevel="0" collapsed="false">
      <c r="A337" s="7" t="s">
        <v>433</v>
      </c>
      <c r="B337" s="8" t="n">
        <v>45046</v>
      </c>
      <c r="C337" s="7" t="s">
        <v>47</v>
      </c>
      <c r="D337" s="7" t="s">
        <v>48</v>
      </c>
      <c r="E337" s="7" t="s">
        <v>17</v>
      </c>
      <c r="F337" s="7" t="s">
        <v>44</v>
      </c>
      <c r="G337" s="9" t="s">
        <v>45</v>
      </c>
      <c r="H337" s="7" t="n">
        <v>12</v>
      </c>
      <c r="I337" s="10" t="n">
        <v>351</v>
      </c>
      <c r="J337" s="10" t="n">
        <v>250</v>
      </c>
      <c r="K337" s="7" t="n">
        <v>42</v>
      </c>
      <c r="L337" s="7" t="s">
        <v>26</v>
      </c>
      <c r="M337" s="10" t="n">
        <v>4212</v>
      </c>
      <c r="N337" s="10" t="n">
        <v>1212</v>
      </c>
      <c r="O337" s="14" t="n">
        <f aca="false">N337/M337</f>
        <v>0.287749287749288</v>
      </c>
      <c r="P337" s="15" t="n">
        <f aca="false">YEAR(B337)</f>
        <v>2023</v>
      </c>
      <c r="Q337" s="15" t="str">
        <f aca="false">"Q"&amp;ROUNDUP(MONTH(B337)/3,0)</f>
        <v>Q2</v>
      </c>
      <c r="R337" s="15" t="str">
        <f aca="false">TEXT(B337,"MMM-YYYY")</f>
        <v>Apr-2023</v>
      </c>
    </row>
    <row r="338" customFormat="false" ht="15" hidden="false" customHeight="true" outlineLevel="0" collapsed="false">
      <c r="A338" s="3" t="s">
        <v>434</v>
      </c>
      <c r="B338" s="4" t="n">
        <v>45049</v>
      </c>
      <c r="C338" s="3" t="s">
        <v>58</v>
      </c>
      <c r="D338" s="3" t="s">
        <v>48</v>
      </c>
      <c r="E338" s="3" t="s">
        <v>30</v>
      </c>
      <c r="F338" s="3" t="s">
        <v>87</v>
      </c>
      <c r="G338" s="5" t="s">
        <v>88</v>
      </c>
      <c r="H338" s="3" t="n">
        <v>8</v>
      </c>
      <c r="I338" s="6" t="n">
        <v>996</v>
      </c>
      <c r="J338" s="6" t="n">
        <v>700</v>
      </c>
      <c r="K338" s="3" t="n">
        <v>39</v>
      </c>
      <c r="L338" s="3" t="s">
        <v>26</v>
      </c>
      <c r="M338" s="6" t="n">
        <v>7968</v>
      </c>
      <c r="N338" s="6" t="n">
        <v>2368</v>
      </c>
      <c r="O338" s="12" t="n">
        <f aca="false">N338/M338</f>
        <v>0.29718875502008</v>
      </c>
      <c r="P338" s="13" t="n">
        <f aca="false">YEAR(B338)</f>
        <v>2023</v>
      </c>
      <c r="Q338" s="13" t="str">
        <f aca="false">"Q"&amp;ROUNDUP(MONTH(B338)/3,0)</f>
        <v>Q2</v>
      </c>
      <c r="R338" s="13" t="str">
        <f aca="false">TEXT(B338,"MMM-YYYY")</f>
        <v>May-2023</v>
      </c>
    </row>
    <row r="339" customFormat="false" ht="15" hidden="false" customHeight="true" outlineLevel="0" collapsed="false">
      <c r="A339" s="7" t="s">
        <v>435</v>
      </c>
      <c r="B339" s="8" t="n">
        <v>45054</v>
      </c>
      <c r="C339" s="7" t="s">
        <v>15</v>
      </c>
      <c r="D339" s="7" t="s">
        <v>16</v>
      </c>
      <c r="E339" s="7" t="s">
        <v>77</v>
      </c>
      <c r="F339" s="7" t="s">
        <v>129</v>
      </c>
      <c r="G339" s="9" t="s">
        <v>130</v>
      </c>
      <c r="H339" s="7" t="n">
        <v>2</v>
      </c>
      <c r="I339" s="10" t="n">
        <v>171</v>
      </c>
      <c r="J339" s="10" t="n">
        <v>120</v>
      </c>
      <c r="K339" s="7" t="n">
        <v>16</v>
      </c>
      <c r="L339" s="7" t="s">
        <v>26</v>
      </c>
      <c r="M339" s="10" t="n">
        <v>342</v>
      </c>
      <c r="N339" s="10" t="n">
        <v>102</v>
      </c>
      <c r="O339" s="14" t="n">
        <f aca="false">N339/M339</f>
        <v>0.298245614035088</v>
      </c>
      <c r="P339" s="15" t="n">
        <f aca="false">YEAR(B339)</f>
        <v>2023</v>
      </c>
      <c r="Q339" s="15" t="str">
        <f aca="false">"Q"&amp;ROUNDUP(MONTH(B339)/3,0)</f>
        <v>Q2</v>
      </c>
      <c r="R339" s="15" t="str">
        <f aca="false">TEXT(B339,"MMM-YYYY")</f>
        <v>May-2023</v>
      </c>
    </row>
    <row r="340" customFormat="false" ht="15" hidden="false" customHeight="true" outlineLevel="0" collapsed="false">
      <c r="A340" s="3" t="s">
        <v>436</v>
      </c>
      <c r="B340" s="4" t="n">
        <v>45054</v>
      </c>
      <c r="C340" s="3" t="s">
        <v>58</v>
      </c>
      <c r="D340" s="3" t="s">
        <v>48</v>
      </c>
      <c r="E340" s="3" t="s">
        <v>17</v>
      </c>
      <c r="F340" s="3" t="s">
        <v>66</v>
      </c>
      <c r="G340" s="5" t="s">
        <v>67</v>
      </c>
      <c r="H340" s="3" t="n">
        <v>9</v>
      </c>
      <c r="I340" s="6" t="n">
        <v>473</v>
      </c>
      <c r="J340" s="6" t="n">
        <v>350</v>
      </c>
      <c r="K340" s="3" t="n">
        <v>19</v>
      </c>
      <c r="L340" s="3" t="s">
        <v>26</v>
      </c>
      <c r="M340" s="6" t="n">
        <v>4257</v>
      </c>
      <c r="N340" s="6" t="n">
        <v>1107</v>
      </c>
      <c r="O340" s="12" t="n">
        <f aca="false">N340/M340</f>
        <v>0.260042283298097</v>
      </c>
      <c r="P340" s="13" t="n">
        <f aca="false">YEAR(B340)</f>
        <v>2023</v>
      </c>
      <c r="Q340" s="13" t="str">
        <f aca="false">"Q"&amp;ROUNDUP(MONTH(B340)/3,0)</f>
        <v>Q2</v>
      </c>
      <c r="R340" s="13" t="str">
        <f aca="false">TEXT(B340,"MMM-YYYY")</f>
        <v>May-2023</v>
      </c>
    </row>
    <row r="341" customFormat="false" ht="15" hidden="false" customHeight="true" outlineLevel="0" collapsed="false">
      <c r="A341" s="7" t="s">
        <v>437</v>
      </c>
      <c r="B341" s="8" t="n">
        <v>45057</v>
      </c>
      <c r="C341" s="7" t="s">
        <v>22</v>
      </c>
      <c r="D341" s="7" t="s">
        <v>16</v>
      </c>
      <c r="E341" s="7" t="s">
        <v>77</v>
      </c>
      <c r="F341" s="7" t="s">
        <v>129</v>
      </c>
      <c r="G341" s="9" t="s">
        <v>130</v>
      </c>
      <c r="H341" s="7" t="n">
        <v>12</v>
      </c>
      <c r="I341" s="10" t="n">
        <v>173</v>
      </c>
      <c r="J341" s="10" t="n">
        <v>120</v>
      </c>
      <c r="K341" s="7" t="n">
        <v>18</v>
      </c>
      <c r="L341" s="7" t="s">
        <v>26</v>
      </c>
      <c r="M341" s="10" t="n">
        <v>2076</v>
      </c>
      <c r="N341" s="10" t="n">
        <v>636</v>
      </c>
      <c r="O341" s="14" t="n">
        <f aca="false">N341/M341</f>
        <v>0.30635838150289</v>
      </c>
      <c r="P341" s="15" t="n">
        <f aca="false">YEAR(B341)</f>
        <v>2023</v>
      </c>
      <c r="Q341" s="15" t="str">
        <f aca="false">"Q"&amp;ROUNDUP(MONTH(B341)/3,0)</f>
        <v>Q2</v>
      </c>
      <c r="R341" s="15" t="str">
        <f aca="false">TEXT(B341,"MMM-YYYY")</f>
        <v>May-2023</v>
      </c>
    </row>
    <row r="342" customFormat="false" ht="15" hidden="false" customHeight="true" outlineLevel="0" collapsed="false">
      <c r="A342" s="3" t="s">
        <v>438</v>
      </c>
      <c r="B342" s="4" t="n">
        <v>45057</v>
      </c>
      <c r="C342" s="3" t="s">
        <v>15</v>
      </c>
      <c r="D342" s="3" t="s">
        <v>16</v>
      </c>
      <c r="E342" s="3" t="s">
        <v>39</v>
      </c>
      <c r="F342" s="3" t="s">
        <v>161</v>
      </c>
      <c r="G342" s="5" t="s">
        <v>162</v>
      </c>
      <c r="H342" s="3" t="n">
        <v>10</v>
      </c>
      <c r="I342" s="6" t="n">
        <v>427</v>
      </c>
      <c r="J342" s="6" t="n">
        <v>350</v>
      </c>
      <c r="K342" s="3" t="n">
        <v>15</v>
      </c>
      <c r="L342" s="3" t="s">
        <v>26</v>
      </c>
      <c r="M342" s="6" t="n">
        <v>4270</v>
      </c>
      <c r="N342" s="6" t="n">
        <v>770</v>
      </c>
      <c r="O342" s="12" t="n">
        <f aca="false">N342/M342</f>
        <v>0.180327868852459</v>
      </c>
      <c r="P342" s="13" t="n">
        <f aca="false">YEAR(B342)</f>
        <v>2023</v>
      </c>
      <c r="Q342" s="13" t="str">
        <f aca="false">"Q"&amp;ROUNDUP(MONTH(B342)/3,0)</f>
        <v>Q2</v>
      </c>
      <c r="R342" s="13" t="str">
        <f aca="false">TEXT(B342,"MMM-YYYY")</f>
        <v>May-2023</v>
      </c>
    </row>
    <row r="343" customFormat="false" ht="15" hidden="false" customHeight="true" outlineLevel="0" collapsed="false">
      <c r="A343" s="7" t="s">
        <v>439</v>
      </c>
      <c r="B343" s="8" t="n">
        <v>45057</v>
      </c>
      <c r="C343" s="7" t="s">
        <v>34</v>
      </c>
      <c r="D343" s="7" t="s">
        <v>35</v>
      </c>
      <c r="E343" s="7" t="s">
        <v>77</v>
      </c>
      <c r="F343" s="7" t="s">
        <v>78</v>
      </c>
      <c r="G343" s="9" t="s">
        <v>79</v>
      </c>
      <c r="H343" s="7" t="n">
        <v>2</v>
      </c>
      <c r="I343" s="10" t="n">
        <v>1217</v>
      </c>
      <c r="J343" s="10" t="n">
        <v>900</v>
      </c>
      <c r="K343" s="7" t="n">
        <v>16</v>
      </c>
      <c r="L343" s="7" t="s">
        <v>26</v>
      </c>
      <c r="M343" s="10" t="n">
        <v>2434</v>
      </c>
      <c r="N343" s="10" t="n">
        <v>634</v>
      </c>
      <c r="O343" s="14" t="n">
        <f aca="false">N343/M343</f>
        <v>0.260476581758422</v>
      </c>
      <c r="P343" s="15" t="n">
        <f aca="false">YEAR(B343)</f>
        <v>2023</v>
      </c>
      <c r="Q343" s="15" t="str">
        <f aca="false">"Q"&amp;ROUNDUP(MONTH(B343)/3,0)</f>
        <v>Q2</v>
      </c>
      <c r="R343" s="15" t="str">
        <f aca="false">TEXT(B343,"MMM-YYYY")</f>
        <v>May-2023</v>
      </c>
    </row>
    <row r="344" customFormat="false" ht="15" hidden="false" customHeight="true" outlineLevel="0" collapsed="false">
      <c r="A344" s="3" t="s">
        <v>440</v>
      </c>
      <c r="B344" s="4" t="n">
        <v>45058</v>
      </c>
      <c r="C344" s="3" t="s">
        <v>15</v>
      </c>
      <c r="D344" s="3" t="s">
        <v>16</v>
      </c>
      <c r="E344" s="3" t="s">
        <v>30</v>
      </c>
      <c r="F344" s="3" t="s">
        <v>87</v>
      </c>
      <c r="G344" s="5" t="s">
        <v>88</v>
      </c>
      <c r="H344" s="3" t="n">
        <v>15</v>
      </c>
      <c r="I344" s="6" t="n">
        <v>1020</v>
      </c>
      <c r="J344" s="6" t="n">
        <v>700</v>
      </c>
      <c r="K344" s="3" t="n">
        <v>34</v>
      </c>
      <c r="L344" s="3" t="s">
        <v>26</v>
      </c>
      <c r="M344" s="6" t="n">
        <v>15300</v>
      </c>
      <c r="N344" s="6" t="n">
        <v>4800</v>
      </c>
      <c r="O344" s="12" t="n">
        <f aca="false">N344/M344</f>
        <v>0.313725490196078</v>
      </c>
      <c r="P344" s="13" t="n">
        <f aca="false">YEAR(B344)</f>
        <v>2023</v>
      </c>
      <c r="Q344" s="13" t="str">
        <f aca="false">"Q"&amp;ROUNDUP(MONTH(B344)/3,0)</f>
        <v>Q2</v>
      </c>
      <c r="R344" s="13" t="str">
        <f aca="false">TEXT(B344,"MMM-YYYY")</f>
        <v>May-2023</v>
      </c>
    </row>
    <row r="345" customFormat="false" ht="15" hidden="false" customHeight="true" outlineLevel="0" collapsed="false">
      <c r="A345" s="7" t="s">
        <v>441</v>
      </c>
      <c r="B345" s="8" t="n">
        <v>45062</v>
      </c>
      <c r="C345" s="7" t="s">
        <v>72</v>
      </c>
      <c r="D345" s="7" t="s">
        <v>35</v>
      </c>
      <c r="E345" s="7" t="s">
        <v>62</v>
      </c>
      <c r="F345" s="7" t="s">
        <v>96</v>
      </c>
      <c r="G345" s="9" t="s">
        <v>97</v>
      </c>
      <c r="H345" s="7" t="n">
        <v>4</v>
      </c>
      <c r="I345" s="10" t="n">
        <v>108</v>
      </c>
      <c r="J345" s="10" t="n">
        <v>80</v>
      </c>
      <c r="K345" s="7" t="n">
        <v>21</v>
      </c>
      <c r="L345" s="7" t="s">
        <v>20</v>
      </c>
      <c r="M345" s="10" t="n">
        <v>432</v>
      </c>
      <c r="N345" s="10" t="n">
        <v>112</v>
      </c>
      <c r="O345" s="14" t="n">
        <f aca="false">N345/M345</f>
        <v>0.259259259259259</v>
      </c>
      <c r="P345" s="15" t="n">
        <f aca="false">YEAR(B345)</f>
        <v>2023</v>
      </c>
      <c r="Q345" s="15" t="str">
        <f aca="false">"Q"&amp;ROUNDUP(MONTH(B345)/3,0)</f>
        <v>Q2</v>
      </c>
      <c r="R345" s="15" t="str">
        <f aca="false">TEXT(B345,"MMM-YYYY")</f>
        <v>May-2023</v>
      </c>
    </row>
    <row r="346" customFormat="false" ht="15" hidden="false" customHeight="true" outlineLevel="0" collapsed="false">
      <c r="A346" s="3" t="s">
        <v>442</v>
      </c>
      <c r="B346" s="4" t="n">
        <v>45063</v>
      </c>
      <c r="C346" s="3" t="s">
        <v>111</v>
      </c>
      <c r="D346" s="3" t="s">
        <v>29</v>
      </c>
      <c r="E346" s="3" t="s">
        <v>77</v>
      </c>
      <c r="F346" s="3" t="s">
        <v>180</v>
      </c>
      <c r="G346" s="5" t="s">
        <v>181</v>
      </c>
      <c r="H346" s="3" t="n">
        <v>11</v>
      </c>
      <c r="I346" s="6" t="n">
        <v>238</v>
      </c>
      <c r="J346" s="6" t="n">
        <v>180</v>
      </c>
      <c r="K346" s="3" t="n">
        <v>6</v>
      </c>
      <c r="L346" s="3" t="s">
        <v>26</v>
      </c>
      <c r="M346" s="6" t="n">
        <v>2618</v>
      </c>
      <c r="N346" s="6" t="n">
        <v>638</v>
      </c>
      <c r="O346" s="12" t="n">
        <f aca="false">N346/M346</f>
        <v>0.243697478991597</v>
      </c>
      <c r="P346" s="13" t="n">
        <f aca="false">YEAR(B346)</f>
        <v>2023</v>
      </c>
      <c r="Q346" s="13" t="str">
        <f aca="false">"Q"&amp;ROUNDUP(MONTH(B346)/3,0)</f>
        <v>Q2</v>
      </c>
      <c r="R346" s="13" t="str">
        <f aca="false">TEXT(B346,"MMM-YYYY")</f>
        <v>May-2023</v>
      </c>
    </row>
    <row r="347" customFormat="false" ht="15" hidden="false" customHeight="true" outlineLevel="0" collapsed="false">
      <c r="A347" s="7" t="s">
        <v>443</v>
      </c>
      <c r="B347" s="8" t="n">
        <v>45063</v>
      </c>
      <c r="C347" s="7" t="s">
        <v>58</v>
      </c>
      <c r="D347" s="7" t="s">
        <v>48</v>
      </c>
      <c r="E347" s="7" t="s">
        <v>62</v>
      </c>
      <c r="F347" s="7" t="s">
        <v>84</v>
      </c>
      <c r="G347" s="9" t="s">
        <v>85</v>
      </c>
      <c r="H347" s="7" t="n">
        <v>12</v>
      </c>
      <c r="I347" s="10" t="n">
        <v>477</v>
      </c>
      <c r="J347" s="10" t="n">
        <v>350</v>
      </c>
      <c r="K347" s="7" t="n">
        <v>32</v>
      </c>
      <c r="L347" s="7" t="s">
        <v>20</v>
      </c>
      <c r="M347" s="10" t="n">
        <v>5724</v>
      </c>
      <c r="N347" s="10" t="n">
        <v>1524</v>
      </c>
      <c r="O347" s="14" t="n">
        <f aca="false">N347/M347</f>
        <v>0.266247379454927</v>
      </c>
      <c r="P347" s="15" t="n">
        <f aca="false">YEAR(B347)</f>
        <v>2023</v>
      </c>
      <c r="Q347" s="15" t="str">
        <f aca="false">"Q"&amp;ROUNDUP(MONTH(B347)/3,0)</f>
        <v>Q2</v>
      </c>
      <c r="R347" s="15" t="str">
        <f aca="false">TEXT(B347,"MMM-YYYY")</f>
        <v>May-2023</v>
      </c>
    </row>
    <row r="348" customFormat="false" ht="15" hidden="false" customHeight="true" outlineLevel="0" collapsed="false">
      <c r="A348" s="3" t="s">
        <v>444</v>
      </c>
      <c r="B348" s="4" t="n">
        <v>45063</v>
      </c>
      <c r="C348" s="3" t="s">
        <v>15</v>
      </c>
      <c r="D348" s="3" t="s">
        <v>16</v>
      </c>
      <c r="E348" s="3" t="s">
        <v>23</v>
      </c>
      <c r="F348" s="3" t="s">
        <v>24</v>
      </c>
      <c r="G348" s="5" t="s">
        <v>25</v>
      </c>
      <c r="H348" s="3" t="n">
        <v>13</v>
      </c>
      <c r="I348" s="6" t="n">
        <v>417</v>
      </c>
      <c r="J348" s="6" t="n">
        <v>350</v>
      </c>
      <c r="K348" s="3" t="n">
        <v>42</v>
      </c>
      <c r="L348" s="3" t="s">
        <v>26</v>
      </c>
      <c r="M348" s="6" t="n">
        <v>5421</v>
      </c>
      <c r="N348" s="6" t="n">
        <v>871</v>
      </c>
      <c r="O348" s="12" t="n">
        <f aca="false">N348/M348</f>
        <v>0.160671462829736</v>
      </c>
      <c r="P348" s="13" t="n">
        <f aca="false">YEAR(B348)</f>
        <v>2023</v>
      </c>
      <c r="Q348" s="13" t="str">
        <f aca="false">"Q"&amp;ROUNDUP(MONTH(B348)/3,0)</f>
        <v>Q2</v>
      </c>
      <c r="R348" s="13" t="str">
        <f aca="false">TEXT(B348,"MMM-YYYY")</f>
        <v>May-2023</v>
      </c>
    </row>
    <row r="349" customFormat="false" ht="15" hidden="false" customHeight="true" outlineLevel="0" collapsed="false">
      <c r="A349" s="7" t="s">
        <v>445</v>
      </c>
      <c r="B349" s="8" t="n">
        <v>45064</v>
      </c>
      <c r="C349" s="7" t="s">
        <v>94</v>
      </c>
      <c r="D349" s="7" t="s">
        <v>48</v>
      </c>
      <c r="E349" s="7" t="s">
        <v>62</v>
      </c>
      <c r="F349" s="7" t="s">
        <v>69</v>
      </c>
      <c r="G349" s="9" t="s">
        <v>70</v>
      </c>
      <c r="H349" s="7" t="n">
        <v>4</v>
      </c>
      <c r="I349" s="10" t="n">
        <v>68</v>
      </c>
      <c r="J349" s="10" t="n">
        <v>50</v>
      </c>
      <c r="K349" s="7" t="n">
        <v>40</v>
      </c>
      <c r="L349" s="7" t="s">
        <v>26</v>
      </c>
      <c r="M349" s="10" t="n">
        <v>272</v>
      </c>
      <c r="N349" s="10" t="n">
        <v>72</v>
      </c>
      <c r="O349" s="14" t="n">
        <f aca="false">N349/M349</f>
        <v>0.264705882352941</v>
      </c>
      <c r="P349" s="15" t="n">
        <f aca="false">YEAR(B349)</f>
        <v>2023</v>
      </c>
      <c r="Q349" s="15" t="str">
        <f aca="false">"Q"&amp;ROUNDUP(MONTH(B349)/3,0)</f>
        <v>Q2</v>
      </c>
      <c r="R349" s="15" t="str">
        <f aca="false">TEXT(B349,"MMM-YYYY")</f>
        <v>May-2023</v>
      </c>
    </row>
    <row r="350" customFormat="false" ht="15" hidden="false" customHeight="true" outlineLevel="0" collapsed="false">
      <c r="A350" s="3" t="s">
        <v>446</v>
      </c>
      <c r="B350" s="4" t="n">
        <v>45066</v>
      </c>
      <c r="C350" s="3" t="s">
        <v>22</v>
      </c>
      <c r="D350" s="3" t="s">
        <v>16</v>
      </c>
      <c r="E350" s="3" t="s">
        <v>77</v>
      </c>
      <c r="F350" s="3" t="s">
        <v>81</v>
      </c>
      <c r="G350" s="5" t="s">
        <v>82</v>
      </c>
      <c r="H350" s="3" t="n">
        <v>8</v>
      </c>
      <c r="I350" s="6" t="n">
        <v>791</v>
      </c>
      <c r="J350" s="6" t="n">
        <v>600</v>
      </c>
      <c r="K350" s="3" t="n">
        <v>16</v>
      </c>
      <c r="L350" s="3" t="s">
        <v>26</v>
      </c>
      <c r="M350" s="6" t="n">
        <v>6328</v>
      </c>
      <c r="N350" s="6" t="n">
        <v>1528</v>
      </c>
      <c r="O350" s="12" t="n">
        <f aca="false">N350/M350</f>
        <v>0.241466498103666</v>
      </c>
      <c r="P350" s="13" t="n">
        <f aca="false">YEAR(B350)</f>
        <v>2023</v>
      </c>
      <c r="Q350" s="13" t="str">
        <f aca="false">"Q"&amp;ROUNDUP(MONTH(B350)/3,0)</f>
        <v>Q2</v>
      </c>
      <c r="R350" s="13" t="str">
        <f aca="false">TEXT(B350,"MMM-YYYY")</f>
        <v>May-2023</v>
      </c>
    </row>
    <row r="351" customFormat="false" ht="15" hidden="false" customHeight="true" outlineLevel="0" collapsed="false">
      <c r="A351" s="7" t="s">
        <v>447</v>
      </c>
      <c r="B351" s="8" t="n">
        <v>45066</v>
      </c>
      <c r="C351" s="7" t="s">
        <v>47</v>
      </c>
      <c r="D351" s="7" t="s">
        <v>48</v>
      </c>
      <c r="E351" s="7" t="s">
        <v>39</v>
      </c>
      <c r="F351" s="7" t="s">
        <v>99</v>
      </c>
      <c r="G351" s="9" t="s">
        <v>100</v>
      </c>
      <c r="H351" s="7" t="n">
        <v>12</v>
      </c>
      <c r="I351" s="10" t="n">
        <v>260</v>
      </c>
      <c r="J351" s="10" t="n">
        <v>220</v>
      </c>
      <c r="K351" s="7" t="n">
        <v>8</v>
      </c>
      <c r="L351" s="7" t="s">
        <v>26</v>
      </c>
      <c r="M351" s="10" t="n">
        <v>3120</v>
      </c>
      <c r="N351" s="10" t="n">
        <v>480</v>
      </c>
      <c r="O351" s="14" t="n">
        <f aca="false">N351/M351</f>
        <v>0.153846153846154</v>
      </c>
      <c r="P351" s="15" t="n">
        <f aca="false">YEAR(B351)</f>
        <v>2023</v>
      </c>
      <c r="Q351" s="15" t="str">
        <f aca="false">"Q"&amp;ROUNDUP(MONTH(B351)/3,0)</f>
        <v>Q2</v>
      </c>
      <c r="R351" s="15" t="str">
        <f aca="false">TEXT(B351,"MMM-YYYY")</f>
        <v>May-2023</v>
      </c>
    </row>
    <row r="352" customFormat="false" ht="15" hidden="false" customHeight="true" outlineLevel="0" collapsed="false">
      <c r="A352" s="3" t="s">
        <v>448</v>
      </c>
      <c r="B352" s="4" t="n">
        <v>45068</v>
      </c>
      <c r="C352" s="3" t="s">
        <v>15</v>
      </c>
      <c r="D352" s="3" t="s">
        <v>16</v>
      </c>
      <c r="E352" s="3" t="s">
        <v>39</v>
      </c>
      <c r="F352" s="3" t="s">
        <v>143</v>
      </c>
      <c r="G352" s="5" t="s">
        <v>144</v>
      </c>
      <c r="H352" s="3" t="n">
        <v>4</v>
      </c>
      <c r="I352" s="6" t="n">
        <v>330</v>
      </c>
      <c r="J352" s="6" t="n">
        <v>280</v>
      </c>
      <c r="K352" s="3" t="n">
        <v>41</v>
      </c>
      <c r="L352" s="3" t="s">
        <v>26</v>
      </c>
      <c r="M352" s="6" t="n">
        <v>1320</v>
      </c>
      <c r="N352" s="6" t="n">
        <v>200</v>
      </c>
      <c r="O352" s="12" t="n">
        <f aca="false">N352/M352</f>
        <v>0.151515151515152</v>
      </c>
      <c r="P352" s="13" t="n">
        <f aca="false">YEAR(B352)</f>
        <v>2023</v>
      </c>
      <c r="Q352" s="13" t="str">
        <f aca="false">"Q"&amp;ROUNDUP(MONTH(B352)/3,0)</f>
        <v>Q2</v>
      </c>
      <c r="R352" s="13" t="str">
        <f aca="false">TEXT(B352,"MMM-YYYY")</f>
        <v>May-2023</v>
      </c>
    </row>
    <row r="353" customFormat="false" ht="15" hidden="false" customHeight="true" outlineLevel="0" collapsed="false">
      <c r="A353" s="7" t="s">
        <v>449</v>
      </c>
      <c r="B353" s="8" t="n">
        <v>45069</v>
      </c>
      <c r="C353" s="7" t="s">
        <v>72</v>
      </c>
      <c r="D353" s="7" t="s">
        <v>35</v>
      </c>
      <c r="E353" s="7" t="s">
        <v>23</v>
      </c>
      <c r="F353" s="7" t="s">
        <v>198</v>
      </c>
      <c r="G353" s="9" t="s">
        <v>199</v>
      </c>
      <c r="H353" s="7" t="n">
        <v>5</v>
      </c>
      <c r="I353" s="10" t="n">
        <v>1068</v>
      </c>
      <c r="J353" s="10" t="n">
        <v>900</v>
      </c>
      <c r="K353" s="7" t="n">
        <v>35</v>
      </c>
      <c r="L353" s="7" t="s">
        <v>20</v>
      </c>
      <c r="M353" s="10" t="n">
        <v>5340</v>
      </c>
      <c r="N353" s="10" t="n">
        <v>840</v>
      </c>
      <c r="O353" s="14" t="n">
        <f aca="false">N353/M353</f>
        <v>0.157303370786517</v>
      </c>
      <c r="P353" s="15" t="n">
        <f aca="false">YEAR(B353)</f>
        <v>2023</v>
      </c>
      <c r="Q353" s="15" t="str">
        <f aca="false">"Q"&amp;ROUNDUP(MONTH(B353)/3,0)</f>
        <v>Q2</v>
      </c>
      <c r="R353" s="15" t="str">
        <f aca="false">TEXT(B353,"MMM-YYYY")</f>
        <v>May-2023</v>
      </c>
    </row>
    <row r="354" customFormat="false" ht="15" hidden="false" customHeight="true" outlineLevel="0" collapsed="false">
      <c r="A354" s="3" t="s">
        <v>450</v>
      </c>
      <c r="B354" s="4" t="n">
        <v>45071</v>
      </c>
      <c r="C354" s="3" t="s">
        <v>47</v>
      </c>
      <c r="D354" s="3" t="s">
        <v>48</v>
      </c>
      <c r="E354" s="3" t="s">
        <v>30</v>
      </c>
      <c r="F354" s="3" t="s">
        <v>126</v>
      </c>
      <c r="G354" s="5" t="s">
        <v>127</v>
      </c>
      <c r="H354" s="3" t="n">
        <v>10</v>
      </c>
      <c r="I354" s="6" t="n">
        <v>561</v>
      </c>
      <c r="J354" s="6" t="n">
        <v>400</v>
      </c>
      <c r="K354" s="3" t="n">
        <v>45</v>
      </c>
      <c r="L354" s="3" t="s">
        <v>20</v>
      </c>
      <c r="M354" s="6" t="n">
        <v>5610</v>
      </c>
      <c r="N354" s="6" t="n">
        <v>1610</v>
      </c>
      <c r="O354" s="12" t="n">
        <f aca="false">N354/M354</f>
        <v>0.28698752228164</v>
      </c>
      <c r="P354" s="13" t="n">
        <f aca="false">YEAR(B354)</f>
        <v>2023</v>
      </c>
      <c r="Q354" s="13" t="str">
        <f aca="false">"Q"&amp;ROUNDUP(MONTH(B354)/3,0)</f>
        <v>Q2</v>
      </c>
      <c r="R354" s="13" t="str">
        <f aca="false">TEXT(B354,"MMM-YYYY")</f>
        <v>May-2023</v>
      </c>
    </row>
    <row r="355" customFormat="false" ht="15" hidden="false" customHeight="true" outlineLevel="0" collapsed="false">
      <c r="A355" s="7" t="s">
        <v>451</v>
      </c>
      <c r="B355" s="8" t="n">
        <v>45071</v>
      </c>
      <c r="C355" s="7" t="s">
        <v>136</v>
      </c>
      <c r="D355" s="7" t="s">
        <v>35</v>
      </c>
      <c r="E355" s="7" t="s">
        <v>30</v>
      </c>
      <c r="F355" s="7" t="s">
        <v>126</v>
      </c>
      <c r="G355" s="9" t="s">
        <v>127</v>
      </c>
      <c r="H355" s="7" t="n">
        <v>9</v>
      </c>
      <c r="I355" s="10" t="n">
        <v>580</v>
      </c>
      <c r="J355" s="10" t="n">
        <v>400</v>
      </c>
      <c r="K355" s="7" t="n">
        <v>37</v>
      </c>
      <c r="L355" s="7" t="s">
        <v>26</v>
      </c>
      <c r="M355" s="10" t="n">
        <v>5220</v>
      </c>
      <c r="N355" s="10" t="n">
        <v>1620</v>
      </c>
      <c r="O355" s="14" t="n">
        <f aca="false">N355/M355</f>
        <v>0.310344827586207</v>
      </c>
      <c r="P355" s="15" t="n">
        <f aca="false">YEAR(B355)</f>
        <v>2023</v>
      </c>
      <c r="Q355" s="15" t="str">
        <f aca="false">"Q"&amp;ROUNDUP(MONTH(B355)/3,0)</f>
        <v>Q2</v>
      </c>
      <c r="R355" s="15" t="str">
        <f aca="false">TEXT(B355,"MMM-YYYY")</f>
        <v>May-2023</v>
      </c>
    </row>
    <row r="356" customFormat="false" ht="15" hidden="false" customHeight="true" outlineLevel="0" collapsed="false">
      <c r="A356" s="3" t="s">
        <v>452</v>
      </c>
      <c r="B356" s="4" t="n">
        <v>45073</v>
      </c>
      <c r="C356" s="3" t="s">
        <v>15</v>
      </c>
      <c r="D356" s="3" t="s">
        <v>16</v>
      </c>
      <c r="E356" s="3" t="s">
        <v>39</v>
      </c>
      <c r="F356" s="3" t="s">
        <v>220</v>
      </c>
      <c r="G356" s="5" t="s">
        <v>221</v>
      </c>
      <c r="H356" s="3" t="n">
        <v>4</v>
      </c>
      <c r="I356" s="6" t="n">
        <v>207</v>
      </c>
      <c r="J356" s="6" t="n">
        <v>180</v>
      </c>
      <c r="K356" s="3" t="n">
        <v>26</v>
      </c>
      <c r="L356" s="3" t="s">
        <v>26</v>
      </c>
      <c r="M356" s="6" t="n">
        <v>828</v>
      </c>
      <c r="N356" s="6" t="n">
        <v>108</v>
      </c>
      <c r="O356" s="12" t="n">
        <f aca="false">N356/M356</f>
        <v>0.130434782608696</v>
      </c>
      <c r="P356" s="13" t="n">
        <f aca="false">YEAR(B356)</f>
        <v>2023</v>
      </c>
      <c r="Q356" s="13" t="str">
        <f aca="false">"Q"&amp;ROUNDUP(MONTH(B356)/3,0)</f>
        <v>Q2</v>
      </c>
      <c r="R356" s="13" t="str">
        <f aca="false">TEXT(B356,"MMM-YYYY")</f>
        <v>May-2023</v>
      </c>
    </row>
    <row r="357" customFormat="false" ht="15" hidden="false" customHeight="true" outlineLevel="0" collapsed="false">
      <c r="A357" s="7" t="s">
        <v>453</v>
      </c>
      <c r="B357" s="8" t="n">
        <v>45078</v>
      </c>
      <c r="C357" s="7" t="s">
        <v>28</v>
      </c>
      <c r="D357" s="7" t="s">
        <v>29</v>
      </c>
      <c r="E357" s="7" t="s">
        <v>62</v>
      </c>
      <c r="F357" s="7" t="s">
        <v>103</v>
      </c>
      <c r="G357" s="9" t="s">
        <v>104</v>
      </c>
      <c r="H357" s="7" t="n">
        <v>13</v>
      </c>
      <c r="I357" s="10" t="n">
        <v>119</v>
      </c>
      <c r="J357" s="10" t="n">
        <v>90</v>
      </c>
      <c r="K357" s="7" t="n">
        <v>45</v>
      </c>
      <c r="L357" s="7" t="s">
        <v>26</v>
      </c>
      <c r="M357" s="10" t="n">
        <v>1547</v>
      </c>
      <c r="N357" s="10" t="n">
        <v>377</v>
      </c>
      <c r="O357" s="14" t="n">
        <f aca="false">N357/M357</f>
        <v>0.243697478991597</v>
      </c>
      <c r="P357" s="15" t="n">
        <f aca="false">YEAR(B357)</f>
        <v>2023</v>
      </c>
      <c r="Q357" s="15" t="str">
        <f aca="false">"Q"&amp;ROUNDUP(MONTH(B357)/3,0)</f>
        <v>Q2</v>
      </c>
      <c r="R357" s="15" t="str">
        <f aca="false">TEXT(B357,"MMM-YYYY")</f>
        <v>Jun-2023</v>
      </c>
    </row>
    <row r="358" customFormat="false" ht="15" hidden="false" customHeight="true" outlineLevel="0" collapsed="false">
      <c r="A358" s="3" t="s">
        <v>454</v>
      </c>
      <c r="B358" s="4" t="n">
        <v>45080</v>
      </c>
      <c r="C358" s="3" t="s">
        <v>22</v>
      </c>
      <c r="D358" s="3" t="s">
        <v>16</v>
      </c>
      <c r="E358" s="3" t="s">
        <v>23</v>
      </c>
      <c r="F358" s="3" t="s">
        <v>24</v>
      </c>
      <c r="G358" s="5" t="s">
        <v>25</v>
      </c>
      <c r="H358" s="3" t="n">
        <v>10</v>
      </c>
      <c r="I358" s="6" t="n">
        <v>432</v>
      </c>
      <c r="J358" s="6" t="n">
        <v>350</v>
      </c>
      <c r="K358" s="3" t="n">
        <v>10</v>
      </c>
      <c r="L358" s="3" t="s">
        <v>26</v>
      </c>
      <c r="M358" s="6" t="n">
        <v>4320</v>
      </c>
      <c r="N358" s="6" t="n">
        <v>820</v>
      </c>
      <c r="O358" s="12" t="n">
        <f aca="false">N358/M358</f>
        <v>0.189814814814815</v>
      </c>
      <c r="P358" s="13" t="n">
        <f aca="false">YEAR(B358)</f>
        <v>2023</v>
      </c>
      <c r="Q358" s="13" t="str">
        <f aca="false">"Q"&amp;ROUNDUP(MONTH(B358)/3,0)</f>
        <v>Q2</v>
      </c>
      <c r="R358" s="13" t="str">
        <f aca="false">TEXT(B358,"MMM-YYYY")</f>
        <v>Jun-2023</v>
      </c>
    </row>
    <row r="359" customFormat="false" ht="15" hidden="false" customHeight="true" outlineLevel="0" collapsed="false">
      <c r="A359" s="7" t="s">
        <v>455</v>
      </c>
      <c r="B359" s="8" t="n">
        <v>45080</v>
      </c>
      <c r="C359" s="7" t="s">
        <v>52</v>
      </c>
      <c r="D359" s="7" t="s">
        <v>29</v>
      </c>
      <c r="E359" s="7" t="s">
        <v>62</v>
      </c>
      <c r="F359" s="7" t="s">
        <v>63</v>
      </c>
      <c r="G359" s="9" t="s">
        <v>64</v>
      </c>
      <c r="H359" s="7" t="n">
        <v>9</v>
      </c>
      <c r="I359" s="10" t="n">
        <v>84</v>
      </c>
      <c r="J359" s="10" t="n">
        <v>60</v>
      </c>
      <c r="K359" s="7" t="n">
        <v>10</v>
      </c>
      <c r="L359" s="7" t="s">
        <v>26</v>
      </c>
      <c r="M359" s="10" t="n">
        <v>756</v>
      </c>
      <c r="N359" s="10" t="n">
        <v>216</v>
      </c>
      <c r="O359" s="14" t="n">
        <f aca="false">N359/M359</f>
        <v>0.285714285714286</v>
      </c>
      <c r="P359" s="15" t="n">
        <f aca="false">YEAR(B359)</f>
        <v>2023</v>
      </c>
      <c r="Q359" s="15" t="str">
        <f aca="false">"Q"&amp;ROUNDUP(MONTH(B359)/3,0)</f>
        <v>Q2</v>
      </c>
      <c r="R359" s="15" t="str">
        <f aca="false">TEXT(B359,"MMM-YYYY")</f>
        <v>Jun-2023</v>
      </c>
    </row>
    <row r="360" customFormat="false" ht="15" hidden="false" customHeight="true" outlineLevel="0" collapsed="false">
      <c r="A360" s="3" t="s">
        <v>456</v>
      </c>
      <c r="B360" s="4" t="n">
        <v>45081</v>
      </c>
      <c r="C360" s="3" t="s">
        <v>94</v>
      </c>
      <c r="D360" s="3" t="s">
        <v>48</v>
      </c>
      <c r="E360" s="3" t="s">
        <v>62</v>
      </c>
      <c r="F360" s="3" t="s">
        <v>69</v>
      </c>
      <c r="G360" s="5" t="s">
        <v>70</v>
      </c>
      <c r="H360" s="3" t="n">
        <v>5</v>
      </c>
      <c r="I360" s="6" t="n">
        <v>70</v>
      </c>
      <c r="J360" s="6" t="n">
        <v>50</v>
      </c>
      <c r="K360" s="3" t="n">
        <v>27</v>
      </c>
      <c r="L360" s="3" t="s">
        <v>26</v>
      </c>
      <c r="M360" s="6" t="n">
        <v>350</v>
      </c>
      <c r="N360" s="6" t="n">
        <v>100</v>
      </c>
      <c r="O360" s="12" t="n">
        <f aca="false">N360/M360</f>
        <v>0.285714285714286</v>
      </c>
      <c r="P360" s="13" t="n">
        <f aca="false">YEAR(B360)</f>
        <v>2023</v>
      </c>
      <c r="Q360" s="13" t="str">
        <f aca="false">"Q"&amp;ROUNDUP(MONTH(B360)/3,0)</f>
        <v>Q2</v>
      </c>
      <c r="R360" s="13" t="str">
        <f aca="false">TEXT(B360,"MMM-YYYY")</f>
        <v>Jun-2023</v>
      </c>
    </row>
    <row r="361" customFormat="false" ht="15" hidden="false" customHeight="true" outlineLevel="0" collapsed="false">
      <c r="A361" s="7" t="s">
        <v>457</v>
      </c>
      <c r="B361" s="8" t="n">
        <v>45081</v>
      </c>
      <c r="C361" s="7" t="s">
        <v>111</v>
      </c>
      <c r="D361" s="7" t="s">
        <v>29</v>
      </c>
      <c r="E361" s="7" t="s">
        <v>77</v>
      </c>
      <c r="F361" s="7" t="s">
        <v>81</v>
      </c>
      <c r="G361" s="9" t="s">
        <v>82</v>
      </c>
      <c r="H361" s="7" t="n">
        <v>10</v>
      </c>
      <c r="I361" s="10" t="n">
        <v>867</v>
      </c>
      <c r="J361" s="10" t="n">
        <v>600</v>
      </c>
      <c r="K361" s="7" t="n">
        <v>3</v>
      </c>
      <c r="L361" s="7" t="s">
        <v>26</v>
      </c>
      <c r="M361" s="10" t="n">
        <v>8670</v>
      </c>
      <c r="N361" s="10" t="n">
        <v>2670</v>
      </c>
      <c r="O361" s="14" t="n">
        <f aca="false">N361/M361</f>
        <v>0.307958477508651</v>
      </c>
      <c r="P361" s="15" t="n">
        <f aca="false">YEAR(B361)</f>
        <v>2023</v>
      </c>
      <c r="Q361" s="15" t="str">
        <f aca="false">"Q"&amp;ROUNDUP(MONTH(B361)/3,0)</f>
        <v>Q2</v>
      </c>
      <c r="R361" s="15" t="str">
        <f aca="false">TEXT(B361,"MMM-YYYY")</f>
        <v>Jun-2023</v>
      </c>
    </row>
    <row r="362" customFormat="false" ht="15" hidden="false" customHeight="true" outlineLevel="0" collapsed="false">
      <c r="A362" s="3" t="s">
        <v>458</v>
      </c>
      <c r="B362" s="4" t="n">
        <v>45081</v>
      </c>
      <c r="C362" s="3" t="s">
        <v>47</v>
      </c>
      <c r="D362" s="3" t="s">
        <v>48</v>
      </c>
      <c r="E362" s="3" t="s">
        <v>77</v>
      </c>
      <c r="F362" s="3" t="s">
        <v>81</v>
      </c>
      <c r="G362" s="5" t="s">
        <v>82</v>
      </c>
      <c r="H362" s="3" t="n">
        <v>6</v>
      </c>
      <c r="I362" s="6" t="n">
        <v>830</v>
      </c>
      <c r="J362" s="6" t="n">
        <v>600</v>
      </c>
      <c r="K362" s="3" t="n">
        <v>39</v>
      </c>
      <c r="L362" s="3" t="s">
        <v>20</v>
      </c>
      <c r="M362" s="6" t="n">
        <v>4980</v>
      </c>
      <c r="N362" s="6" t="n">
        <v>1380</v>
      </c>
      <c r="O362" s="12" t="n">
        <f aca="false">N362/M362</f>
        <v>0.27710843373494</v>
      </c>
      <c r="P362" s="13" t="n">
        <f aca="false">YEAR(B362)</f>
        <v>2023</v>
      </c>
      <c r="Q362" s="13" t="str">
        <f aca="false">"Q"&amp;ROUNDUP(MONTH(B362)/3,0)</f>
        <v>Q2</v>
      </c>
      <c r="R362" s="13" t="str">
        <f aca="false">TEXT(B362,"MMM-YYYY")</f>
        <v>Jun-2023</v>
      </c>
    </row>
    <row r="363" customFormat="false" ht="15" hidden="false" customHeight="true" outlineLevel="0" collapsed="false">
      <c r="A363" s="7" t="s">
        <v>459</v>
      </c>
      <c r="B363" s="8" t="n">
        <v>45082</v>
      </c>
      <c r="C363" s="7" t="s">
        <v>58</v>
      </c>
      <c r="D363" s="7" t="s">
        <v>48</v>
      </c>
      <c r="E363" s="7" t="s">
        <v>39</v>
      </c>
      <c r="F363" s="7" t="s">
        <v>143</v>
      </c>
      <c r="G363" s="9" t="s">
        <v>144</v>
      </c>
      <c r="H363" s="7" t="n">
        <v>8</v>
      </c>
      <c r="I363" s="10" t="n">
        <v>316</v>
      </c>
      <c r="J363" s="10" t="n">
        <v>280</v>
      </c>
      <c r="K363" s="7" t="n">
        <v>5</v>
      </c>
      <c r="L363" s="7" t="s">
        <v>26</v>
      </c>
      <c r="M363" s="10" t="n">
        <v>2528</v>
      </c>
      <c r="N363" s="10" t="n">
        <v>288</v>
      </c>
      <c r="O363" s="14" t="n">
        <f aca="false">N363/M363</f>
        <v>0.113924050632911</v>
      </c>
      <c r="P363" s="15" t="n">
        <f aca="false">YEAR(B363)</f>
        <v>2023</v>
      </c>
      <c r="Q363" s="15" t="str">
        <f aca="false">"Q"&amp;ROUNDUP(MONTH(B363)/3,0)</f>
        <v>Q2</v>
      </c>
      <c r="R363" s="15" t="str">
        <f aca="false">TEXT(B363,"MMM-YYYY")</f>
        <v>Jun-2023</v>
      </c>
    </row>
    <row r="364" customFormat="false" ht="15" hidden="false" customHeight="true" outlineLevel="0" collapsed="false">
      <c r="A364" s="3" t="s">
        <v>460</v>
      </c>
      <c r="B364" s="4" t="n">
        <v>45089</v>
      </c>
      <c r="C364" s="3" t="s">
        <v>52</v>
      </c>
      <c r="D364" s="3" t="s">
        <v>29</v>
      </c>
      <c r="E364" s="3" t="s">
        <v>77</v>
      </c>
      <c r="F364" s="3" t="s">
        <v>152</v>
      </c>
      <c r="G364" s="5" t="s">
        <v>153</v>
      </c>
      <c r="H364" s="3" t="n">
        <v>13</v>
      </c>
      <c r="I364" s="6" t="n">
        <v>484</v>
      </c>
      <c r="J364" s="6" t="n">
        <v>350</v>
      </c>
      <c r="K364" s="3" t="n">
        <v>2</v>
      </c>
      <c r="L364" s="3" t="s">
        <v>20</v>
      </c>
      <c r="M364" s="6" t="n">
        <v>6292</v>
      </c>
      <c r="N364" s="6" t="n">
        <v>1742</v>
      </c>
      <c r="O364" s="12" t="n">
        <f aca="false">N364/M364</f>
        <v>0.276859504132231</v>
      </c>
      <c r="P364" s="13" t="n">
        <f aca="false">YEAR(B364)</f>
        <v>2023</v>
      </c>
      <c r="Q364" s="13" t="str">
        <f aca="false">"Q"&amp;ROUNDUP(MONTH(B364)/3,0)</f>
        <v>Q2</v>
      </c>
      <c r="R364" s="13" t="str">
        <f aca="false">TEXT(B364,"MMM-YYYY")</f>
        <v>Jun-2023</v>
      </c>
    </row>
    <row r="365" customFormat="false" ht="15" hidden="false" customHeight="true" outlineLevel="0" collapsed="false">
      <c r="A365" s="7" t="s">
        <v>461</v>
      </c>
      <c r="B365" s="8" t="n">
        <v>45089</v>
      </c>
      <c r="C365" s="7" t="s">
        <v>72</v>
      </c>
      <c r="D365" s="7" t="s">
        <v>35</v>
      </c>
      <c r="E365" s="7" t="s">
        <v>30</v>
      </c>
      <c r="F365" s="7" t="s">
        <v>36</v>
      </c>
      <c r="G365" s="9" t="s">
        <v>37</v>
      </c>
      <c r="H365" s="7" t="n">
        <v>15</v>
      </c>
      <c r="I365" s="10" t="n">
        <v>671</v>
      </c>
      <c r="J365" s="10" t="n">
        <v>450</v>
      </c>
      <c r="K365" s="7" t="n">
        <v>26</v>
      </c>
      <c r="L365" s="7" t="s">
        <v>26</v>
      </c>
      <c r="M365" s="10" t="n">
        <v>10065</v>
      </c>
      <c r="N365" s="10" t="n">
        <v>3315</v>
      </c>
      <c r="O365" s="14" t="n">
        <f aca="false">N365/M365</f>
        <v>0.329359165424739</v>
      </c>
      <c r="P365" s="15" t="n">
        <f aca="false">YEAR(B365)</f>
        <v>2023</v>
      </c>
      <c r="Q365" s="15" t="str">
        <f aca="false">"Q"&amp;ROUNDUP(MONTH(B365)/3,0)</f>
        <v>Q2</v>
      </c>
      <c r="R365" s="15" t="str">
        <f aca="false">TEXT(B365,"MMM-YYYY")</f>
        <v>Jun-2023</v>
      </c>
    </row>
    <row r="366" customFormat="false" ht="15" hidden="false" customHeight="true" outlineLevel="0" collapsed="false">
      <c r="A366" s="3" t="s">
        <v>462</v>
      </c>
      <c r="B366" s="4" t="n">
        <v>45091</v>
      </c>
      <c r="C366" s="3" t="s">
        <v>94</v>
      </c>
      <c r="D366" s="3" t="s">
        <v>48</v>
      </c>
      <c r="E366" s="3" t="s">
        <v>30</v>
      </c>
      <c r="F366" s="3" t="s">
        <v>118</v>
      </c>
      <c r="G366" s="5" t="s">
        <v>119</v>
      </c>
      <c r="H366" s="3" t="n">
        <v>7</v>
      </c>
      <c r="I366" s="6" t="n">
        <v>398</v>
      </c>
      <c r="J366" s="6" t="n">
        <v>280</v>
      </c>
      <c r="K366" s="3" t="n">
        <v>38</v>
      </c>
      <c r="L366" s="3" t="s">
        <v>20</v>
      </c>
      <c r="M366" s="6" t="n">
        <v>2786</v>
      </c>
      <c r="N366" s="6" t="n">
        <v>826</v>
      </c>
      <c r="O366" s="12" t="n">
        <f aca="false">N366/M366</f>
        <v>0.296482412060302</v>
      </c>
      <c r="P366" s="13" t="n">
        <f aca="false">YEAR(B366)</f>
        <v>2023</v>
      </c>
      <c r="Q366" s="13" t="str">
        <f aca="false">"Q"&amp;ROUNDUP(MONTH(B366)/3,0)</f>
        <v>Q2</v>
      </c>
      <c r="R366" s="13" t="str">
        <f aca="false">TEXT(B366,"MMM-YYYY")</f>
        <v>Jun-2023</v>
      </c>
    </row>
    <row r="367" customFormat="false" ht="15" hidden="false" customHeight="true" outlineLevel="0" collapsed="false">
      <c r="A367" s="7" t="s">
        <v>463</v>
      </c>
      <c r="B367" s="8" t="n">
        <v>45093</v>
      </c>
      <c r="C367" s="7" t="s">
        <v>28</v>
      </c>
      <c r="D367" s="7" t="s">
        <v>29</v>
      </c>
      <c r="E367" s="7" t="s">
        <v>30</v>
      </c>
      <c r="F367" s="7" t="s">
        <v>87</v>
      </c>
      <c r="G367" s="9" t="s">
        <v>88</v>
      </c>
      <c r="H367" s="7" t="n">
        <v>6</v>
      </c>
      <c r="I367" s="10" t="n">
        <v>981</v>
      </c>
      <c r="J367" s="10" t="n">
        <v>700</v>
      </c>
      <c r="K367" s="7" t="n">
        <v>28</v>
      </c>
      <c r="L367" s="7" t="s">
        <v>26</v>
      </c>
      <c r="M367" s="10" t="n">
        <v>5886</v>
      </c>
      <c r="N367" s="10" t="n">
        <v>1686</v>
      </c>
      <c r="O367" s="14" t="n">
        <f aca="false">N367/M367</f>
        <v>0.286442405708461</v>
      </c>
      <c r="P367" s="15" t="n">
        <f aca="false">YEAR(B367)</f>
        <v>2023</v>
      </c>
      <c r="Q367" s="15" t="str">
        <f aca="false">"Q"&amp;ROUNDUP(MONTH(B367)/3,0)</f>
        <v>Q2</v>
      </c>
      <c r="R367" s="15" t="str">
        <f aca="false">TEXT(B367,"MMM-YYYY")</f>
        <v>Jun-2023</v>
      </c>
    </row>
    <row r="368" customFormat="false" ht="15" hidden="false" customHeight="true" outlineLevel="0" collapsed="false">
      <c r="A368" s="3" t="s">
        <v>464</v>
      </c>
      <c r="B368" s="4" t="n">
        <v>45093</v>
      </c>
      <c r="C368" s="3" t="s">
        <v>28</v>
      </c>
      <c r="D368" s="3" t="s">
        <v>29</v>
      </c>
      <c r="E368" s="3" t="s">
        <v>17</v>
      </c>
      <c r="F368" s="3" t="s">
        <v>59</v>
      </c>
      <c r="G368" s="5" t="s">
        <v>60</v>
      </c>
      <c r="H368" s="3" t="n">
        <v>1</v>
      </c>
      <c r="I368" s="6" t="n">
        <v>374</v>
      </c>
      <c r="J368" s="6" t="n">
        <v>280</v>
      </c>
      <c r="K368" s="3" t="n">
        <v>27</v>
      </c>
      <c r="L368" s="3" t="s">
        <v>26</v>
      </c>
      <c r="M368" s="6" t="n">
        <v>374</v>
      </c>
      <c r="N368" s="6" t="n">
        <v>94</v>
      </c>
      <c r="O368" s="12" t="n">
        <f aca="false">N368/M368</f>
        <v>0.251336898395722</v>
      </c>
      <c r="P368" s="13" t="n">
        <f aca="false">YEAR(B368)</f>
        <v>2023</v>
      </c>
      <c r="Q368" s="13" t="str">
        <f aca="false">"Q"&amp;ROUNDUP(MONTH(B368)/3,0)</f>
        <v>Q2</v>
      </c>
      <c r="R368" s="13" t="str">
        <f aca="false">TEXT(B368,"MMM-YYYY")</f>
        <v>Jun-2023</v>
      </c>
    </row>
    <row r="369" customFormat="false" ht="15" hidden="false" customHeight="true" outlineLevel="0" collapsed="false">
      <c r="A369" s="7" t="s">
        <v>465</v>
      </c>
      <c r="B369" s="8" t="n">
        <v>45094</v>
      </c>
      <c r="C369" s="7" t="s">
        <v>94</v>
      </c>
      <c r="D369" s="7" t="s">
        <v>48</v>
      </c>
      <c r="E369" s="7" t="s">
        <v>39</v>
      </c>
      <c r="F369" s="7" t="s">
        <v>40</v>
      </c>
      <c r="G369" s="9" t="s">
        <v>41</v>
      </c>
      <c r="H369" s="7" t="n">
        <v>1</v>
      </c>
      <c r="I369" s="10" t="n">
        <v>102</v>
      </c>
      <c r="J369" s="10" t="n">
        <v>90</v>
      </c>
      <c r="K369" s="7" t="n">
        <v>24</v>
      </c>
      <c r="L369" s="7" t="s">
        <v>20</v>
      </c>
      <c r="M369" s="10" t="n">
        <v>102</v>
      </c>
      <c r="N369" s="10" t="n">
        <v>12</v>
      </c>
      <c r="O369" s="14" t="n">
        <f aca="false">N369/M369</f>
        <v>0.117647058823529</v>
      </c>
      <c r="P369" s="15" t="n">
        <f aca="false">YEAR(B369)</f>
        <v>2023</v>
      </c>
      <c r="Q369" s="15" t="str">
        <f aca="false">"Q"&amp;ROUNDUP(MONTH(B369)/3,0)</f>
        <v>Q2</v>
      </c>
      <c r="R369" s="15" t="str">
        <f aca="false">TEXT(B369,"MMM-YYYY")</f>
        <v>Jun-2023</v>
      </c>
    </row>
    <row r="370" customFormat="false" ht="15" hidden="false" customHeight="true" outlineLevel="0" collapsed="false">
      <c r="A370" s="3" t="s">
        <v>466</v>
      </c>
      <c r="B370" s="4" t="n">
        <v>45097</v>
      </c>
      <c r="C370" s="3" t="s">
        <v>136</v>
      </c>
      <c r="D370" s="3" t="s">
        <v>35</v>
      </c>
      <c r="E370" s="3" t="s">
        <v>39</v>
      </c>
      <c r="F370" s="3" t="s">
        <v>99</v>
      </c>
      <c r="G370" s="5" t="s">
        <v>100</v>
      </c>
      <c r="H370" s="3" t="n">
        <v>14</v>
      </c>
      <c r="I370" s="6" t="n">
        <v>259</v>
      </c>
      <c r="J370" s="6" t="n">
        <v>220</v>
      </c>
      <c r="K370" s="3" t="n">
        <v>50</v>
      </c>
      <c r="L370" s="3" t="s">
        <v>26</v>
      </c>
      <c r="M370" s="6" t="n">
        <v>3626</v>
      </c>
      <c r="N370" s="6" t="n">
        <v>546</v>
      </c>
      <c r="O370" s="12" t="n">
        <f aca="false">N370/M370</f>
        <v>0.150579150579151</v>
      </c>
      <c r="P370" s="13" t="n">
        <f aca="false">YEAR(B370)</f>
        <v>2023</v>
      </c>
      <c r="Q370" s="13" t="str">
        <f aca="false">"Q"&amp;ROUNDUP(MONTH(B370)/3,0)</f>
        <v>Q2</v>
      </c>
      <c r="R370" s="13" t="str">
        <f aca="false">TEXT(B370,"MMM-YYYY")</f>
        <v>Jun-2023</v>
      </c>
    </row>
    <row r="371" customFormat="false" ht="15" hidden="false" customHeight="true" outlineLevel="0" collapsed="false">
      <c r="A371" s="7" t="s">
        <v>467</v>
      </c>
      <c r="B371" s="8" t="n">
        <v>45098</v>
      </c>
      <c r="C371" s="7" t="s">
        <v>58</v>
      </c>
      <c r="D371" s="7" t="s">
        <v>48</v>
      </c>
      <c r="E371" s="7" t="s">
        <v>39</v>
      </c>
      <c r="F371" s="7" t="s">
        <v>143</v>
      </c>
      <c r="G371" s="9" t="s">
        <v>144</v>
      </c>
      <c r="H371" s="7" t="n">
        <v>2</v>
      </c>
      <c r="I371" s="10" t="n">
        <v>328</v>
      </c>
      <c r="J371" s="10" t="n">
        <v>280</v>
      </c>
      <c r="K371" s="7" t="n">
        <v>33</v>
      </c>
      <c r="L371" s="7" t="s">
        <v>26</v>
      </c>
      <c r="M371" s="10" t="n">
        <v>656</v>
      </c>
      <c r="N371" s="10" t="n">
        <v>96</v>
      </c>
      <c r="O371" s="14" t="n">
        <f aca="false">N371/M371</f>
        <v>0.146341463414634</v>
      </c>
      <c r="P371" s="15" t="n">
        <f aca="false">YEAR(B371)</f>
        <v>2023</v>
      </c>
      <c r="Q371" s="15" t="str">
        <f aca="false">"Q"&amp;ROUNDUP(MONTH(B371)/3,0)</f>
        <v>Q2</v>
      </c>
      <c r="R371" s="15" t="str">
        <f aca="false">TEXT(B371,"MMM-YYYY")</f>
        <v>Jun-2023</v>
      </c>
    </row>
    <row r="372" customFormat="false" ht="15" hidden="false" customHeight="true" outlineLevel="0" collapsed="false">
      <c r="A372" s="3" t="s">
        <v>468</v>
      </c>
      <c r="B372" s="4" t="n">
        <v>45104</v>
      </c>
      <c r="C372" s="3" t="s">
        <v>94</v>
      </c>
      <c r="D372" s="3" t="s">
        <v>48</v>
      </c>
      <c r="E372" s="3" t="s">
        <v>17</v>
      </c>
      <c r="F372" s="3" t="s">
        <v>54</v>
      </c>
      <c r="G372" s="5" t="s">
        <v>55</v>
      </c>
      <c r="H372" s="3" t="n">
        <v>9</v>
      </c>
      <c r="I372" s="6" t="n">
        <v>599</v>
      </c>
      <c r="J372" s="6" t="n">
        <v>450</v>
      </c>
      <c r="K372" s="3" t="n">
        <v>0</v>
      </c>
      <c r="L372" s="3" t="s">
        <v>20</v>
      </c>
      <c r="M372" s="6" t="n">
        <v>5391</v>
      </c>
      <c r="N372" s="6" t="n">
        <v>1341</v>
      </c>
      <c r="O372" s="12" t="n">
        <f aca="false">N372/M372</f>
        <v>0.248747913188648</v>
      </c>
      <c r="P372" s="13" t="n">
        <f aca="false">YEAR(B372)</f>
        <v>2023</v>
      </c>
      <c r="Q372" s="13" t="str">
        <f aca="false">"Q"&amp;ROUNDUP(MONTH(B372)/3,0)</f>
        <v>Q2</v>
      </c>
      <c r="R372" s="13" t="str">
        <f aca="false">TEXT(B372,"MMM-YYYY")</f>
        <v>Jun-2023</v>
      </c>
    </row>
    <row r="373" customFormat="false" ht="15" hidden="false" customHeight="true" outlineLevel="0" collapsed="false">
      <c r="A373" s="7" t="s">
        <v>469</v>
      </c>
      <c r="B373" s="8" t="n">
        <v>45104</v>
      </c>
      <c r="C373" s="7" t="s">
        <v>28</v>
      </c>
      <c r="D373" s="7" t="s">
        <v>29</v>
      </c>
      <c r="E373" s="7" t="s">
        <v>39</v>
      </c>
      <c r="F373" s="7" t="s">
        <v>143</v>
      </c>
      <c r="G373" s="9" t="s">
        <v>144</v>
      </c>
      <c r="H373" s="7" t="n">
        <v>1</v>
      </c>
      <c r="I373" s="10" t="n">
        <v>345</v>
      </c>
      <c r="J373" s="10" t="n">
        <v>280</v>
      </c>
      <c r="K373" s="7" t="n">
        <v>4</v>
      </c>
      <c r="L373" s="7" t="s">
        <v>26</v>
      </c>
      <c r="M373" s="10" t="n">
        <v>345</v>
      </c>
      <c r="N373" s="10" t="n">
        <v>65</v>
      </c>
      <c r="O373" s="14" t="n">
        <f aca="false">N373/M373</f>
        <v>0.188405797101449</v>
      </c>
      <c r="P373" s="15" t="n">
        <f aca="false">YEAR(B373)</f>
        <v>2023</v>
      </c>
      <c r="Q373" s="15" t="str">
        <f aca="false">"Q"&amp;ROUNDUP(MONTH(B373)/3,0)</f>
        <v>Q2</v>
      </c>
      <c r="R373" s="15" t="str">
        <f aca="false">TEXT(B373,"MMM-YYYY")</f>
        <v>Jun-2023</v>
      </c>
    </row>
    <row r="374" customFormat="false" ht="15" hidden="false" customHeight="true" outlineLevel="0" collapsed="false">
      <c r="A374" s="3" t="s">
        <v>470</v>
      </c>
      <c r="B374" s="4" t="n">
        <v>45107</v>
      </c>
      <c r="C374" s="3" t="s">
        <v>15</v>
      </c>
      <c r="D374" s="3" t="s">
        <v>16</v>
      </c>
      <c r="E374" s="3" t="s">
        <v>30</v>
      </c>
      <c r="F374" s="3" t="s">
        <v>31</v>
      </c>
      <c r="G374" s="5" t="s">
        <v>32</v>
      </c>
      <c r="H374" s="3" t="n">
        <v>2</v>
      </c>
      <c r="I374" s="6" t="n">
        <v>1818</v>
      </c>
      <c r="J374" s="6" t="n">
        <v>1200</v>
      </c>
      <c r="K374" s="3" t="n">
        <v>10</v>
      </c>
      <c r="L374" s="3" t="s">
        <v>26</v>
      </c>
      <c r="M374" s="6" t="n">
        <v>3636</v>
      </c>
      <c r="N374" s="6" t="n">
        <v>1236</v>
      </c>
      <c r="O374" s="12" t="n">
        <f aca="false">N374/M374</f>
        <v>0.33993399339934</v>
      </c>
      <c r="P374" s="13" t="n">
        <f aca="false">YEAR(B374)</f>
        <v>2023</v>
      </c>
      <c r="Q374" s="13" t="str">
        <f aca="false">"Q"&amp;ROUNDUP(MONTH(B374)/3,0)</f>
        <v>Q2</v>
      </c>
      <c r="R374" s="13" t="str">
        <f aca="false">TEXT(B374,"MMM-YYYY")</f>
        <v>Jun-2023</v>
      </c>
    </row>
    <row r="375" customFormat="false" ht="15" hidden="false" customHeight="true" outlineLevel="0" collapsed="false">
      <c r="A375" s="7" t="s">
        <v>471</v>
      </c>
      <c r="B375" s="8" t="n">
        <v>45108</v>
      </c>
      <c r="C375" s="7" t="s">
        <v>43</v>
      </c>
      <c r="D375" s="7" t="s">
        <v>16</v>
      </c>
      <c r="E375" s="7" t="s">
        <v>39</v>
      </c>
      <c r="F375" s="7" t="s">
        <v>161</v>
      </c>
      <c r="G375" s="9" t="s">
        <v>162</v>
      </c>
      <c r="H375" s="7" t="n">
        <v>5</v>
      </c>
      <c r="I375" s="10" t="n">
        <v>401</v>
      </c>
      <c r="J375" s="10" t="n">
        <v>350</v>
      </c>
      <c r="K375" s="7" t="n">
        <v>44</v>
      </c>
      <c r="L375" s="7" t="s">
        <v>20</v>
      </c>
      <c r="M375" s="10" t="n">
        <v>2005</v>
      </c>
      <c r="N375" s="10" t="n">
        <v>255</v>
      </c>
      <c r="O375" s="14" t="n">
        <f aca="false">N375/M375</f>
        <v>0.127182044887781</v>
      </c>
      <c r="P375" s="15" t="n">
        <f aca="false">YEAR(B375)</f>
        <v>2023</v>
      </c>
      <c r="Q375" s="15" t="str">
        <f aca="false">"Q"&amp;ROUNDUP(MONTH(B375)/3,0)</f>
        <v>Q3</v>
      </c>
      <c r="R375" s="15" t="str">
        <f aca="false">TEXT(B375,"MMM-YYYY")</f>
        <v>Jul-2023</v>
      </c>
    </row>
    <row r="376" customFormat="false" ht="15" hidden="false" customHeight="true" outlineLevel="0" collapsed="false">
      <c r="A376" s="3" t="s">
        <v>472</v>
      </c>
      <c r="B376" s="4" t="n">
        <v>45108</v>
      </c>
      <c r="C376" s="3" t="s">
        <v>136</v>
      </c>
      <c r="D376" s="3" t="s">
        <v>35</v>
      </c>
      <c r="E376" s="3" t="s">
        <v>62</v>
      </c>
      <c r="F376" s="3" t="s">
        <v>69</v>
      </c>
      <c r="G376" s="5" t="s">
        <v>70</v>
      </c>
      <c r="H376" s="3" t="n">
        <v>2</v>
      </c>
      <c r="I376" s="6" t="n">
        <v>71</v>
      </c>
      <c r="J376" s="6" t="n">
        <v>50</v>
      </c>
      <c r="K376" s="3" t="n">
        <v>48</v>
      </c>
      <c r="L376" s="3" t="s">
        <v>20</v>
      </c>
      <c r="M376" s="6" t="n">
        <v>142</v>
      </c>
      <c r="N376" s="6" t="n">
        <v>42</v>
      </c>
      <c r="O376" s="12" t="n">
        <f aca="false">N376/M376</f>
        <v>0.295774647887324</v>
      </c>
      <c r="P376" s="13" t="n">
        <f aca="false">YEAR(B376)</f>
        <v>2023</v>
      </c>
      <c r="Q376" s="13" t="str">
        <f aca="false">"Q"&amp;ROUNDUP(MONTH(B376)/3,0)</f>
        <v>Q3</v>
      </c>
      <c r="R376" s="13" t="str">
        <f aca="false">TEXT(B376,"MMM-YYYY")</f>
        <v>Jul-2023</v>
      </c>
    </row>
    <row r="377" customFormat="false" ht="15" hidden="false" customHeight="true" outlineLevel="0" collapsed="false">
      <c r="A377" s="7" t="s">
        <v>473</v>
      </c>
      <c r="B377" s="8" t="n">
        <v>45112</v>
      </c>
      <c r="C377" s="7" t="s">
        <v>72</v>
      </c>
      <c r="D377" s="7" t="s">
        <v>35</v>
      </c>
      <c r="E377" s="7" t="s">
        <v>77</v>
      </c>
      <c r="F377" s="7" t="s">
        <v>129</v>
      </c>
      <c r="G377" s="9" t="s">
        <v>130</v>
      </c>
      <c r="H377" s="7" t="n">
        <v>7</v>
      </c>
      <c r="I377" s="10" t="n">
        <v>170</v>
      </c>
      <c r="J377" s="10" t="n">
        <v>120</v>
      </c>
      <c r="K377" s="7" t="n">
        <v>11</v>
      </c>
      <c r="L377" s="7" t="s">
        <v>20</v>
      </c>
      <c r="M377" s="10" t="n">
        <v>1190</v>
      </c>
      <c r="N377" s="10" t="n">
        <v>350</v>
      </c>
      <c r="O377" s="14" t="n">
        <f aca="false">N377/M377</f>
        <v>0.294117647058824</v>
      </c>
      <c r="P377" s="15" t="n">
        <f aca="false">YEAR(B377)</f>
        <v>2023</v>
      </c>
      <c r="Q377" s="15" t="str">
        <f aca="false">"Q"&amp;ROUNDUP(MONTH(B377)/3,0)</f>
        <v>Q3</v>
      </c>
      <c r="R377" s="15" t="str">
        <f aca="false">TEXT(B377,"MMM-YYYY")</f>
        <v>Jul-2023</v>
      </c>
    </row>
    <row r="378" customFormat="false" ht="15" hidden="false" customHeight="true" outlineLevel="0" collapsed="false">
      <c r="A378" s="3" t="s">
        <v>474</v>
      </c>
      <c r="B378" s="4" t="n">
        <v>45112</v>
      </c>
      <c r="C378" s="3" t="s">
        <v>15</v>
      </c>
      <c r="D378" s="3" t="s">
        <v>16</v>
      </c>
      <c r="E378" s="3" t="s">
        <v>39</v>
      </c>
      <c r="F378" s="3" t="s">
        <v>40</v>
      </c>
      <c r="G378" s="5" t="s">
        <v>41</v>
      </c>
      <c r="H378" s="3" t="n">
        <v>2</v>
      </c>
      <c r="I378" s="6" t="n">
        <v>104</v>
      </c>
      <c r="J378" s="6" t="n">
        <v>90</v>
      </c>
      <c r="K378" s="3" t="n">
        <v>16</v>
      </c>
      <c r="L378" s="3" t="s">
        <v>20</v>
      </c>
      <c r="M378" s="6" t="n">
        <v>208</v>
      </c>
      <c r="N378" s="6" t="n">
        <v>28</v>
      </c>
      <c r="O378" s="12" t="n">
        <f aca="false">N378/M378</f>
        <v>0.134615384615385</v>
      </c>
      <c r="P378" s="13" t="n">
        <f aca="false">YEAR(B378)</f>
        <v>2023</v>
      </c>
      <c r="Q378" s="13" t="str">
        <f aca="false">"Q"&amp;ROUNDUP(MONTH(B378)/3,0)</f>
        <v>Q3</v>
      </c>
      <c r="R378" s="13" t="str">
        <f aca="false">TEXT(B378,"MMM-YYYY")</f>
        <v>Jul-2023</v>
      </c>
    </row>
    <row r="379" customFormat="false" ht="15" hidden="false" customHeight="true" outlineLevel="0" collapsed="false">
      <c r="A379" s="7" t="s">
        <v>475</v>
      </c>
      <c r="B379" s="8" t="n">
        <v>45113</v>
      </c>
      <c r="C379" s="7" t="s">
        <v>22</v>
      </c>
      <c r="D379" s="7" t="s">
        <v>16</v>
      </c>
      <c r="E379" s="7" t="s">
        <v>39</v>
      </c>
      <c r="F379" s="7" t="s">
        <v>220</v>
      </c>
      <c r="G379" s="9" t="s">
        <v>221</v>
      </c>
      <c r="H379" s="7" t="n">
        <v>12</v>
      </c>
      <c r="I379" s="10" t="n">
        <v>216</v>
      </c>
      <c r="J379" s="10" t="n">
        <v>180</v>
      </c>
      <c r="K379" s="7" t="n">
        <v>19</v>
      </c>
      <c r="L379" s="7" t="s">
        <v>26</v>
      </c>
      <c r="M379" s="10" t="n">
        <v>2592</v>
      </c>
      <c r="N379" s="10" t="n">
        <v>432</v>
      </c>
      <c r="O379" s="14" t="n">
        <f aca="false">N379/M379</f>
        <v>0.166666666666667</v>
      </c>
      <c r="P379" s="15" t="n">
        <f aca="false">YEAR(B379)</f>
        <v>2023</v>
      </c>
      <c r="Q379" s="15" t="str">
        <f aca="false">"Q"&amp;ROUNDUP(MONTH(B379)/3,0)</f>
        <v>Q3</v>
      </c>
      <c r="R379" s="15" t="str">
        <f aca="false">TEXT(B379,"MMM-YYYY")</f>
        <v>Jul-2023</v>
      </c>
    </row>
    <row r="380" customFormat="false" ht="15" hidden="false" customHeight="true" outlineLevel="0" collapsed="false">
      <c r="A380" s="3" t="s">
        <v>476</v>
      </c>
      <c r="B380" s="4" t="n">
        <v>45116</v>
      </c>
      <c r="C380" s="3" t="s">
        <v>72</v>
      </c>
      <c r="D380" s="3" t="s">
        <v>35</v>
      </c>
      <c r="E380" s="3" t="s">
        <v>23</v>
      </c>
      <c r="F380" s="3" t="s">
        <v>204</v>
      </c>
      <c r="G380" s="5" t="s">
        <v>205</v>
      </c>
      <c r="H380" s="3" t="n">
        <v>1</v>
      </c>
      <c r="I380" s="6" t="n">
        <v>2213</v>
      </c>
      <c r="J380" s="6" t="n">
        <v>1800</v>
      </c>
      <c r="K380" s="3" t="n">
        <v>28</v>
      </c>
      <c r="L380" s="3" t="s">
        <v>26</v>
      </c>
      <c r="M380" s="6" t="n">
        <v>2213</v>
      </c>
      <c r="N380" s="6" t="n">
        <v>413</v>
      </c>
      <c r="O380" s="12" t="n">
        <f aca="false">N380/M380</f>
        <v>0.186624491640307</v>
      </c>
      <c r="P380" s="13" t="n">
        <f aca="false">YEAR(B380)</f>
        <v>2023</v>
      </c>
      <c r="Q380" s="13" t="str">
        <f aca="false">"Q"&amp;ROUNDUP(MONTH(B380)/3,0)</f>
        <v>Q3</v>
      </c>
      <c r="R380" s="13" t="str">
        <f aca="false">TEXT(B380,"MMM-YYYY")</f>
        <v>Jul-2023</v>
      </c>
    </row>
    <row r="381" customFormat="false" ht="15" hidden="false" customHeight="true" outlineLevel="0" collapsed="false">
      <c r="A381" s="7" t="s">
        <v>477</v>
      </c>
      <c r="B381" s="8" t="n">
        <v>45116</v>
      </c>
      <c r="C381" s="7" t="s">
        <v>72</v>
      </c>
      <c r="D381" s="7" t="s">
        <v>35</v>
      </c>
      <c r="E381" s="7" t="s">
        <v>30</v>
      </c>
      <c r="F381" s="7" t="s">
        <v>87</v>
      </c>
      <c r="G381" s="9" t="s">
        <v>88</v>
      </c>
      <c r="H381" s="7" t="n">
        <v>3</v>
      </c>
      <c r="I381" s="10" t="n">
        <v>1022</v>
      </c>
      <c r="J381" s="10" t="n">
        <v>700</v>
      </c>
      <c r="K381" s="7" t="n">
        <v>11</v>
      </c>
      <c r="L381" s="7" t="s">
        <v>26</v>
      </c>
      <c r="M381" s="10" t="n">
        <v>3066</v>
      </c>
      <c r="N381" s="10" t="n">
        <v>966</v>
      </c>
      <c r="O381" s="14" t="n">
        <f aca="false">N381/M381</f>
        <v>0.315068493150685</v>
      </c>
      <c r="P381" s="15" t="n">
        <f aca="false">YEAR(B381)</f>
        <v>2023</v>
      </c>
      <c r="Q381" s="15" t="str">
        <f aca="false">"Q"&amp;ROUNDUP(MONTH(B381)/3,0)</f>
        <v>Q3</v>
      </c>
      <c r="R381" s="15" t="str">
        <f aca="false">TEXT(B381,"MMM-YYYY")</f>
        <v>Jul-2023</v>
      </c>
    </row>
    <row r="382" customFormat="false" ht="15" hidden="false" customHeight="true" outlineLevel="0" collapsed="false">
      <c r="A382" s="3" t="s">
        <v>478</v>
      </c>
      <c r="B382" s="4" t="n">
        <v>45117</v>
      </c>
      <c r="C382" s="3" t="s">
        <v>28</v>
      </c>
      <c r="D382" s="3" t="s">
        <v>29</v>
      </c>
      <c r="E382" s="3" t="s">
        <v>77</v>
      </c>
      <c r="F382" s="3" t="s">
        <v>78</v>
      </c>
      <c r="G382" s="5" t="s">
        <v>79</v>
      </c>
      <c r="H382" s="3" t="n">
        <v>5</v>
      </c>
      <c r="I382" s="6" t="n">
        <v>1199</v>
      </c>
      <c r="J382" s="6" t="n">
        <v>900</v>
      </c>
      <c r="K382" s="3" t="n">
        <v>9</v>
      </c>
      <c r="L382" s="3" t="s">
        <v>26</v>
      </c>
      <c r="M382" s="6" t="n">
        <v>5995</v>
      </c>
      <c r="N382" s="6" t="n">
        <v>1495</v>
      </c>
      <c r="O382" s="12" t="n">
        <f aca="false">N382/M382</f>
        <v>0.249374478732277</v>
      </c>
      <c r="P382" s="13" t="n">
        <f aca="false">YEAR(B382)</f>
        <v>2023</v>
      </c>
      <c r="Q382" s="13" t="str">
        <f aca="false">"Q"&amp;ROUNDUP(MONTH(B382)/3,0)</f>
        <v>Q3</v>
      </c>
      <c r="R382" s="13" t="str">
        <f aca="false">TEXT(B382,"MMM-YYYY")</f>
        <v>Jul-2023</v>
      </c>
    </row>
    <row r="383" customFormat="false" ht="15" hidden="false" customHeight="true" outlineLevel="0" collapsed="false">
      <c r="A383" s="7" t="s">
        <v>479</v>
      </c>
      <c r="B383" s="8" t="n">
        <v>45117</v>
      </c>
      <c r="C383" s="7" t="s">
        <v>58</v>
      </c>
      <c r="D383" s="7" t="s">
        <v>48</v>
      </c>
      <c r="E383" s="7" t="s">
        <v>39</v>
      </c>
      <c r="F383" s="7" t="s">
        <v>40</v>
      </c>
      <c r="G383" s="9" t="s">
        <v>41</v>
      </c>
      <c r="H383" s="7" t="n">
        <v>9</v>
      </c>
      <c r="I383" s="10" t="n">
        <v>102</v>
      </c>
      <c r="J383" s="10" t="n">
        <v>90</v>
      </c>
      <c r="K383" s="7" t="n">
        <v>17</v>
      </c>
      <c r="L383" s="7" t="s">
        <v>20</v>
      </c>
      <c r="M383" s="10" t="n">
        <v>918</v>
      </c>
      <c r="N383" s="10" t="n">
        <v>108</v>
      </c>
      <c r="O383" s="14" t="n">
        <f aca="false">N383/M383</f>
        <v>0.117647058823529</v>
      </c>
      <c r="P383" s="15" t="n">
        <f aca="false">YEAR(B383)</f>
        <v>2023</v>
      </c>
      <c r="Q383" s="15" t="str">
        <f aca="false">"Q"&amp;ROUNDUP(MONTH(B383)/3,0)</f>
        <v>Q3</v>
      </c>
      <c r="R383" s="15" t="str">
        <f aca="false">TEXT(B383,"MMM-YYYY")</f>
        <v>Jul-2023</v>
      </c>
    </row>
    <row r="384" customFormat="false" ht="15" hidden="false" customHeight="true" outlineLevel="0" collapsed="false">
      <c r="A384" s="3" t="s">
        <v>480</v>
      </c>
      <c r="B384" s="4" t="n">
        <v>45118</v>
      </c>
      <c r="C384" s="3" t="s">
        <v>43</v>
      </c>
      <c r="D384" s="3" t="s">
        <v>16</v>
      </c>
      <c r="E384" s="3" t="s">
        <v>39</v>
      </c>
      <c r="F384" s="3" t="s">
        <v>143</v>
      </c>
      <c r="G384" s="5" t="s">
        <v>144</v>
      </c>
      <c r="H384" s="3" t="n">
        <v>6</v>
      </c>
      <c r="I384" s="6" t="n">
        <v>343</v>
      </c>
      <c r="J384" s="6" t="n">
        <v>280</v>
      </c>
      <c r="K384" s="3" t="n">
        <v>16</v>
      </c>
      <c r="L384" s="3" t="s">
        <v>20</v>
      </c>
      <c r="M384" s="6" t="n">
        <v>2058</v>
      </c>
      <c r="N384" s="6" t="n">
        <v>378</v>
      </c>
      <c r="O384" s="12" t="n">
        <f aca="false">N384/M384</f>
        <v>0.183673469387755</v>
      </c>
      <c r="P384" s="13" t="n">
        <f aca="false">YEAR(B384)</f>
        <v>2023</v>
      </c>
      <c r="Q384" s="13" t="str">
        <f aca="false">"Q"&amp;ROUNDUP(MONTH(B384)/3,0)</f>
        <v>Q3</v>
      </c>
      <c r="R384" s="13" t="str">
        <f aca="false">TEXT(B384,"MMM-YYYY")</f>
        <v>Jul-2023</v>
      </c>
    </row>
    <row r="385" customFormat="false" ht="15" hidden="false" customHeight="true" outlineLevel="0" collapsed="false">
      <c r="A385" s="7" t="s">
        <v>481</v>
      </c>
      <c r="B385" s="8" t="n">
        <v>45121</v>
      </c>
      <c r="C385" s="7" t="s">
        <v>136</v>
      </c>
      <c r="D385" s="7" t="s">
        <v>35</v>
      </c>
      <c r="E385" s="7" t="s">
        <v>30</v>
      </c>
      <c r="F385" s="7" t="s">
        <v>36</v>
      </c>
      <c r="G385" s="9" t="s">
        <v>37</v>
      </c>
      <c r="H385" s="7" t="n">
        <v>12</v>
      </c>
      <c r="I385" s="10" t="n">
        <v>670</v>
      </c>
      <c r="J385" s="10" t="n">
        <v>450</v>
      </c>
      <c r="K385" s="7" t="n">
        <v>0</v>
      </c>
      <c r="L385" s="7" t="s">
        <v>26</v>
      </c>
      <c r="M385" s="10" t="n">
        <v>8040</v>
      </c>
      <c r="N385" s="10" t="n">
        <v>2640</v>
      </c>
      <c r="O385" s="14" t="n">
        <f aca="false">N385/M385</f>
        <v>0.328358208955224</v>
      </c>
      <c r="P385" s="15" t="n">
        <f aca="false">YEAR(B385)</f>
        <v>2023</v>
      </c>
      <c r="Q385" s="15" t="str">
        <f aca="false">"Q"&amp;ROUNDUP(MONTH(B385)/3,0)</f>
        <v>Q3</v>
      </c>
      <c r="R385" s="15" t="str">
        <f aca="false">TEXT(B385,"MMM-YYYY")</f>
        <v>Jul-2023</v>
      </c>
    </row>
    <row r="386" customFormat="false" ht="15" hidden="false" customHeight="true" outlineLevel="0" collapsed="false">
      <c r="A386" s="3" t="s">
        <v>482</v>
      </c>
      <c r="B386" s="4" t="n">
        <v>45122</v>
      </c>
      <c r="C386" s="3" t="s">
        <v>47</v>
      </c>
      <c r="D386" s="3" t="s">
        <v>48</v>
      </c>
      <c r="E386" s="3" t="s">
        <v>23</v>
      </c>
      <c r="F386" s="3" t="s">
        <v>49</v>
      </c>
      <c r="G386" s="5" t="s">
        <v>50</v>
      </c>
      <c r="H386" s="3" t="n">
        <v>2</v>
      </c>
      <c r="I386" s="6" t="n">
        <v>20968</v>
      </c>
      <c r="J386" s="6" t="n">
        <v>18000</v>
      </c>
      <c r="K386" s="3" t="n">
        <v>34</v>
      </c>
      <c r="L386" s="3" t="s">
        <v>26</v>
      </c>
      <c r="M386" s="6" t="n">
        <v>41936</v>
      </c>
      <c r="N386" s="6" t="n">
        <v>5936</v>
      </c>
      <c r="O386" s="12" t="n">
        <f aca="false">N386/M386</f>
        <v>0.141549027088897</v>
      </c>
      <c r="P386" s="13" t="n">
        <f aca="false">YEAR(B386)</f>
        <v>2023</v>
      </c>
      <c r="Q386" s="13" t="str">
        <f aca="false">"Q"&amp;ROUNDUP(MONTH(B386)/3,0)</f>
        <v>Q3</v>
      </c>
      <c r="R386" s="13" t="str">
        <f aca="false">TEXT(B386,"MMM-YYYY")</f>
        <v>Jul-2023</v>
      </c>
    </row>
    <row r="387" customFormat="false" ht="15" hidden="false" customHeight="true" outlineLevel="0" collapsed="false">
      <c r="A387" s="7" t="s">
        <v>483</v>
      </c>
      <c r="B387" s="8" t="n">
        <v>45123</v>
      </c>
      <c r="C387" s="7" t="s">
        <v>22</v>
      </c>
      <c r="D387" s="7" t="s">
        <v>16</v>
      </c>
      <c r="E387" s="7" t="s">
        <v>39</v>
      </c>
      <c r="F387" s="7" t="s">
        <v>99</v>
      </c>
      <c r="G387" s="9" t="s">
        <v>100</v>
      </c>
      <c r="H387" s="7" t="n">
        <v>3</v>
      </c>
      <c r="I387" s="10" t="n">
        <v>250</v>
      </c>
      <c r="J387" s="10" t="n">
        <v>220</v>
      </c>
      <c r="K387" s="7" t="n">
        <v>45</v>
      </c>
      <c r="L387" s="7" t="s">
        <v>20</v>
      </c>
      <c r="M387" s="10" t="n">
        <v>750</v>
      </c>
      <c r="N387" s="10" t="n">
        <v>90</v>
      </c>
      <c r="O387" s="14" t="n">
        <f aca="false">N387/M387</f>
        <v>0.12</v>
      </c>
      <c r="P387" s="15" t="n">
        <f aca="false">YEAR(B387)</f>
        <v>2023</v>
      </c>
      <c r="Q387" s="15" t="str">
        <f aca="false">"Q"&amp;ROUNDUP(MONTH(B387)/3,0)</f>
        <v>Q3</v>
      </c>
      <c r="R387" s="15" t="str">
        <f aca="false">TEXT(B387,"MMM-YYYY")</f>
        <v>Jul-2023</v>
      </c>
    </row>
    <row r="388" customFormat="false" ht="15" hidden="false" customHeight="true" outlineLevel="0" collapsed="false">
      <c r="A388" s="3" t="s">
        <v>484</v>
      </c>
      <c r="B388" s="4" t="n">
        <v>45125</v>
      </c>
      <c r="C388" s="3" t="s">
        <v>52</v>
      </c>
      <c r="D388" s="3" t="s">
        <v>29</v>
      </c>
      <c r="E388" s="3" t="s">
        <v>30</v>
      </c>
      <c r="F388" s="3" t="s">
        <v>118</v>
      </c>
      <c r="G388" s="5" t="s">
        <v>119</v>
      </c>
      <c r="H388" s="3" t="n">
        <v>8</v>
      </c>
      <c r="I388" s="6" t="n">
        <v>393</v>
      </c>
      <c r="J388" s="6" t="n">
        <v>280</v>
      </c>
      <c r="K388" s="3" t="n">
        <v>10</v>
      </c>
      <c r="L388" s="3" t="s">
        <v>26</v>
      </c>
      <c r="M388" s="6" t="n">
        <v>3144</v>
      </c>
      <c r="N388" s="6" t="n">
        <v>904</v>
      </c>
      <c r="O388" s="12" t="n">
        <f aca="false">N388/M388</f>
        <v>0.287531806615776</v>
      </c>
      <c r="P388" s="13" t="n">
        <f aca="false">YEAR(B388)</f>
        <v>2023</v>
      </c>
      <c r="Q388" s="13" t="str">
        <f aca="false">"Q"&amp;ROUNDUP(MONTH(B388)/3,0)</f>
        <v>Q3</v>
      </c>
      <c r="R388" s="13" t="str">
        <f aca="false">TEXT(B388,"MMM-YYYY")</f>
        <v>Jul-2023</v>
      </c>
    </row>
    <row r="389" customFormat="false" ht="15" hidden="false" customHeight="true" outlineLevel="0" collapsed="false">
      <c r="A389" s="7" t="s">
        <v>485</v>
      </c>
      <c r="B389" s="8" t="n">
        <v>45126</v>
      </c>
      <c r="C389" s="7" t="s">
        <v>43</v>
      </c>
      <c r="D389" s="7" t="s">
        <v>16</v>
      </c>
      <c r="E389" s="7" t="s">
        <v>30</v>
      </c>
      <c r="F389" s="7" t="s">
        <v>118</v>
      </c>
      <c r="G389" s="9" t="s">
        <v>119</v>
      </c>
      <c r="H389" s="7" t="n">
        <v>9</v>
      </c>
      <c r="I389" s="10" t="n">
        <v>387</v>
      </c>
      <c r="J389" s="10" t="n">
        <v>280</v>
      </c>
      <c r="K389" s="7" t="n">
        <v>29</v>
      </c>
      <c r="L389" s="7" t="s">
        <v>26</v>
      </c>
      <c r="M389" s="10" t="n">
        <v>3483</v>
      </c>
      <c r="N389" s="10" t="n">
        <v>963</v>
      </c>
      <c r="O389" s="14" t="n">
        <f aca="false">N389/M389</f>
        <v>0.276485788113695</v>
      </c>
      <c r="P389" s="15" t="n">
        <f aca="false">YEAR(B389)</f>
        <v>2023</v>
      </c>
      <c r="Q389" s="15" t="str">
        <f aca="false">"Q"&amp;ROUNDUP(MONTH(B389)/3,0)</f>
        <v>Q3</v>
      </c>
      <c r="R389" s="15" t="str">
        <f aca="false">TEXT(B389,"MMM-YYYY")</f>
        <v>Jul-2023</v>
      </c>
    </row>
    <row r="390" customFormat="false" ht="15" hidden="false" customHeight="true" outlineLevel="0" collapsed="false">
      <c r="A390" s="3" t="s">
        <v>486</v>
      </c>
      <c r="B390" s="4" t="n">
        <v>45127</v>
      </c>
      <c r="C390" s="3" t="s">
        <v>15</v>
      </c>
      <c r="D390" s="3" t="s">
        <v>16</v>
      </c>
      <c r="E390" s="3" t="s">
        <v>77</v>
      </c>
      <c r="F390" s="3" t="s">
        <v>129</v>
      </c>
      <c r="G390" s="5" t="s">
        <v>130</v>
      </c>
      <c r="H390" s="3" t="n">
        <v>12</v>
      </c>
      <c r="I390" s="6" t="n">
        <v>171</v>
      </c>
      <c r="J390" s="6" t="n">
        <v>120</v>
      </c>
      <c r="K390" s="3" t="n">
        <v>25</v>
      </c>
      <c r="L390" s="3" t="s">
        <v>26</v>
      </c>
      <c r="M390" s="6" t="n">
        <v>2052</v>
      </c>
      <c r="N390" s="6" t="n">
        <v>612</v>
      </c>
      <c r="O390" s="12" t="n">
        <f aca="false">N390/M390</f>
        <v>0.298245614035088</v>
      </c>
      <c r="P390" s="13" t="n">
        <f aca="false">YEAR(B390)</f>
        <v>2023</v>
      </c>
      <c r="Q390" s="13" t="str">
        <f aca="false">"Q"&amp;ROUNDUP(MONTH(B390)/3,0)</f>
        <v>Q3</v>
      </c>
      <c r="R390" s="13" t="str">
        <f aca="false">TEXT(B390,"MMM-YYYY")</f>
        <v>Jul-2023</v>
      </c>
    </row>
    <row r="391" customFormat="false" ht="15" hidden="false" customHeight="true" outlineLevel="0" collapsed="false">
      <c r="A391" s="7" t="s">
        <v>487</v>
      </c>
      <c r="B391" s="8" t="n">
        <v>45128</v>
      </c>
      <c r="C391" s="7" t="s">
        <v>136</v>
      </c>
      <c r="D391" s="7" t="s">
        <v>35</v>
      </c>
      <c r="E391" s="7" t="s">
        <v>17</v>
      </c>
      <c r="F391" s="7" t="s">
        <v>66</v>
      </c>
      <c r="G391" s="9" t="s">
        <v>67</v>
      </c>
      <c r="H391" s="7" t="n">
        <v>1</v>
      </c>
      <c r="I391" s="10" t="n">
        <v>468</v>
      </c>
      <c r="J391" s="10" t="n">
        <v>350</v>
      </c>
      <c r="K391" s="7" t="n">
        <v>5</v>
      </c>
      <c r="L391" s="7" t="s">
        <v>26</v>
      </c>
      <c r="M391" s="10" t="n">
        <v>468</v>
      </c>
      <c r="N391" s="10" t="n">
        <v>118</v>
      </c>
      <c r="O391" s="14" t="n">
        <f aca="false">N391/M391</f>
        <v>0.252136752136752</v>
      </c>
      <c r="P391" s="15" t="n">
        <f aca="false">YEAR(B391)</f>
        <v>2023</v>
      </c>
      <c r="Q391" s="15" t="str">
        <f aca="false">"Q"&amp;ROUNDUP(MONTH(B391)/3,0)</f>
        <v>Q3</v>
      </c>
      <c r="R391" s="15" t="str">
        <f aca="false">TEXT(B391,"MMM-YYYY")</f>
        <v>Jul-2023</v>
      </c>
    </row>
    <row r="392" customFormat="false" ht="15" hidden="false" customHeight="true" outlineLevel="0" collapsed="false">
      <c r="A392" s="3" t="s">
        <v>488</v>
      </c>
      <c r="B392" s="4" t="n">
        <v>45128</v>
      </c>
      <c r="C392" s="3" t="s">
        <v>136</v>
      </c>
      <c r="D392" s="3" t="s">
        <v>35</v>
      </c>
      <c r="E392" s="3" t="s">
        <v>39</v>
      </c>
      <c r="F392" s="3" t="s">
        <v>220</v>
      </c>
      <c r="G392" s="5" t="s">
        <v>221</v>
      </c>
      <c r="H392" s="3" t="n">
        <v>14</v>
      </c>
      <c r="I392" s="6" t="n">
        <v>203</v>
      </c>
      <c r="J392" s="6" t="n">
        <v>180</v>
      </c>
      <c r="K392" s="3" t="n">
        <v>0</v>
      </c>
      <c r="L392" s="3" t="s">
        <v>20</v>
      </c>
      <c r="M392" s="6" t="n">
        <v>2842</v>
      </c>
      <c r="N392" s="6" t="n">
        <v>322</v>
      </c>
      <c r="O392" s="12" t="n">
        <f aca="false">N392/M392</f>
        <v>0.113300492610837</v>
      </c>
      <c r="P392" s="13" t="n">
        <f aca="false">YEAR(B392)</f>
        <v>2023</v>
      </c>
      <c r="Q392" s="13" t="str">
        <f aca="false">"Q"&amp;ROUNDUP(MONTH(B392)/3,0)</f>
        <v>Q3</v>
      </c>
      <c r="R392" s="13" t="str">
        <f aca="false">TEXT(B392,"MMM-YYYY")</f>
        <v>Jul-2023</v>
      </c>
    </row>
    <row r="393" customFormat="false" ht="15" hidden="false" customHeight="true" outlineLevel="0" collapsed="false">
      <c r="A393" s="7" t="s">
        <v>489</v>
      </c>
      <c r="B393" s="8" t="n">
        <v>45128</v>
      </c>
      <c r="C393" s="7" t="s">
        <v>28</v>
      </c>
      <c r="D393" s="7" t="s">
        <v>29</v>
      </c>
      <c r="E393" s="7" t="s">
        <v>23</v>
      </c>
      <c r="F393" s="7" t="s">
        <v>24</v>
      </c>
      <c r="G393" s="9" t="s">
        <v>25</v>
      </c>
      <c r="H393" s="7" t="n">
        <v>8</v>
      </c>
      <c r="I393" s="10" t="n">
        <v>409</v>
      </c>
      <c r="J393" s="10" t="n">
        <v>350</v>
      </c>
      <c r="K393" s="7" t="n">
        <v>25</v>
      </c>
      <c r="L393" s="7" t="s">
        <v>26</v>
      </c>
      <c r="M393" s="10" t="n">
        <v>3272</v>
      </c>
      <c r="N393" s="10" t="n">
        <v>472</v>
      </c>
      <c r="O393" s="14" t="n">
        <f aca="false">N393/M393</f>
        <v>0.144254278728606</v>
      </c>
      <c r="P393" s="15" t="n">
        <f aca="false">YEAR(B393)</f>
        <v>2023</v>
      </c>
      <c r="Q393" s="15" t="str">
        <f aca="false">"Q"&amp;ROUNDUP(MONTH(B393)/3,0)</f>
        <v>Q3</v>
      </c>
      <c r="R393" s="15" t="str">
        <f aca="false">TEXT(B393,"MMM-YYYY")</f>
        <v>Jul-2023</v>
      </c>
    </row>
    <row r="394" customFormat="false" ht="15" hidden="false" customHeight="true" outlineLevel="0" collapsed="false">
      <c r="A394" s="3" t="s">
        <v>490</v>
      </c>
      <c r="B394" s="4" t="n">
        <v>45132</v>
      </c>
      <c r="C394" s="3" t="s">
        <v>34</v>
      </c>
      <c r="D394" s="3" t="s">
        <v>35</v>
      </c>
      <c r="E394" s="3" t="s">
        <v>17</v>
      </c>
      <c r="F394" s="3" t="s">
        <v>59</v>
      </c>
      <c r="G394" s="5" t="s">
        <v>60</v>
      </c>
      <c r="H394" s="3" t="n">
        <v>14</v>
      </c>
      <c r="I394" s="6" t="n">
        <v>411</v>
      </c>
      <c r="J394" s="6" t="n">
        <v>280</v>
      </c>
      <c r="K394" s="3" t="n">
        <v>45</v>
      </c>
      <c r="L394" s="3" t="s">
        <v>26</v>
      </c>
      <c r="M394" s="6" t="n">
        <v>5754</v>
      </c>
      <c r="N394" s="6" t="n">
        <v>1834</v>
      </c>
      <c r="O394" s="12" t="n">
        <f aca="false">N394/M394</f>
        <v>0.318734793187348</v>
      </c>
      <c r="P394" s="13" t="n">
        <f aca="false">YEAR(B394)</f>
        <v>2023</v>
      </c>
      <c r="Q394" s="13" t="str">
        <f aca="false">"Q"&amp;ROUNDUP(MONTH(B394)/3,0)</f>
        <v>Q3</v>
      </c>
      <c r="R394" s="13" t="str">
        <f aca="false">TEXT(B394,"MMM-YYYY")</f>
        <v>Jul-2023</v>
      </c>
    </row>
    <row r="395" customFormat="false" ht="15" hidden="false" customHeight="true" outlineLevel="0" collapsed="false">
      <c r="A395" s="7" t="s">
        <v>491</v>
      </c>
      <c r="B395" s="8" t="n">
        <v>45136</v>
      </c>
      <c r="C395" s="7" t="s">
        <v>111</v>
      </c>
      <c r="D395" s="7" t="s">
        <v>29</v>
      </c>
      <c r="E395" s="7" t="s">
        <v>62</v>
      </c>
      <c r="F395" s="7" t="s">
        <v>103</v>
      </c>
      <c r="G395" s="9" t="s">
        <v>104</v>
      </c>
      <c r="H395" s="7" t="n">
        <v>14</v>
      </c>
      <c r="I395" s="10" t="n">
        <v>127</v>
      </c>
      <c r="J395" s="10" t="n">
        <v>90</v>
      </c>
      <c r="K395" s="7" t="n">
        <v>14</v>
      </c>
      <c r="L395" s="7" t="s">
        <v>26</v>
      </c>
      <c r="M395" s="10" t="n">
        <v>1778</v>
      </c>
      <c r="N395" s="10" t="n">
        <v>518</v>
      </c>
      <c r="O395" s="14" t="n">
        <f aca="false">N395/M395</f>
        <v>0.291338582677165</v>
      </c>
      <c r="P395" s="15" t="n">
        <f aca="false">YEAR(B395)</f>
        <v>2023</v>
      </c>
      <c r="Q395" s="15" t="str">
        <f aca="false">"Q"&amp;ROUNDUP(MONTH(B395)/3,0)</f>
        <v>Q3</v>
      </c>
      <c r="R395" s="15" t="str">
        <f aca="false">TEXT(B395,"MMM-YYYY")</f>
        <v>Jul-2023</v>
      </c>
    </row>
    <row r="396" customFormat="false" ht="15" hidden="false" customHeight="true" outlineLevel="0" collapsed="false">
      <c r="A396" s="3" t="s">
        <v>492</v>
      </c>
      <c r="B396" s="4" t="n">
        <v>45137</v>
      </c>
      <c r="C396" s="3" t="s">
        <v>52</v>
      </c>
      <c r="D396" s="3" t="s">
        <v>29</v>
      </c>
      <c r="E396" s="3" t="s">
        <v>30</v>
      </c>
      <c r="F396" s="3" t="s">
        <v>126</v>
      </c>
      <c r="G396" s="5" t="s">
        <v>127</v>
      </c>
      <c r="H396" s="3" t="n">
        <v>12</v>
      </c>
      <c r="I396" s="6" t="n">
        <v>568</v>
      </c>
      <c r="J396" s="6" t="n">
        <v>400</v>
      </c>
      <c r="K396" s="3" t="n">
        <v>35</v>
      </c>
      <c r="L396" s="3" t="s">
        <v>26</v>
      </c>
      <c r="M396" s="6" t="n">
        <v>6816</v>
      </c>
      <c r="N396" s="6" t="n">
        <v>2016</v>
      </c>
      <c r="O396" s="12" t="n">
        <f aca="false">N396/M396</f>
        <v>0.295774647887324</v>
      </c>
      <c r="P396" s="13" t="n">
        <f aca="false">YEAR(B396)</f>
        <v>2023</v>
      </c>
      <c r="Q396" s="13" t="str">
        <f aca="false">"Q"&amp;ROUNDUP(MONTH(B396)/3,0)</f>
        <v>Q3</v>
      </c>
      <c r="R396" s="13" t="str">
        <f aca="false">TEXT(B396,"MMM-YYYY")</f>
        <v>Jul-2023</v>
      </c>
    </row>
    <row r="397" customFormat="false" ht="15" hidden="false" customHeight="true" outlineLevel="0" collapsed="false">
      <c r="A397" s="7" t="s">
        <v>493</v>
      </c>
      <c r="B397" s="8" t="n">
        <v>45138</v>
      </c>
      <c r="C397" s="7" t="s">
        <v>22</v>
      </c>
      <c r="D397" s="7" t="s">
        <v>16</v>
      </c>
      <c r="E397" s="7" t="s">
        <v>17</v>
      </c>
      <c r="F397" s="7" t="s">
        <v>44</v>
      </c>
      <c r="G397" s="9" t="s">
        <v>45</v>
      </c>
      <c r="H397" s="7" t="n">
        <v>10</v>
      </c>
      <c r="I397" s="10" t="n">
        <v>338</v>
      </c>
      <c r="J397" s="10" t="n">
        <v>250</v>
      </c>
      <c r="K397" s="7" t="n">
        <v>12</v>
      </c>
      <c r="L397" s="7" t="s">
        <v>26</v>
      </c>
      <c r="M397" s="10" t="n">
        <v>3380</v>
      </c>
      <c r="N397" s="10" t="n">
        <v>880</v>
      </c>
      <c r="O397" s="14" t="n">
        <f aca="false">N397/M397</f>
        <v>0.260355029585799</v>
      </c>
      <c r="P397" s="15" t="n">
        <f aca="false">YEAR(B397)</f>
        <v>2023</v>
      </c>
      <c r="Q397" s="15" t="str">
        <f aca="false">"Q"&amp;ROUNDUP(MONTH(B397)/3,0)</f>
        <v>Q3</v>
      </c>
      <c r="R397" s="15" t="str">
        <f aca="false">TEXT(B397,"MMM-YYYY")</f>
        <v>Jul-2023</v>
      </c>
    </row>
    <row r="398" customFormat="false" ht="15" hidden="false" customHeight="true" outlineLevel="0" collapsed="false">
      <c r="A398" s="3" t="s">
        <v>494</v>
      </c>
      <c r="B398" s="4" t="n">
        <v>45139</v>
      </c>
      <c r="C398" s="3" t="s">
        <v>94</v>
      </c>
      <c r="D398" s="3" t="s">
        <v>48</v>
      </c>
      <c r="E398" s="3" t="s">
        <v>30</v>
      </c>
      <c r="F398" s="3" t="s">
        <v>87</v>
      </c>
      <c r="G398" s="5" t="s">
        <v>88</v>
      </c>
      <c r="H398" s="3" t="n">
        <v>14</v>
      </c>
      <c r="I398" s="6" t="n">
        <v>1002</v>
      </c>
      <c r="J398" s="6" t="n">
        <v>700</v>
      </c>
      <c r="K398" s="3" t="n">
        <v>4</v>
      </c>
      <c r="L398" s="3" t="s">
        <v>26</v>
      </c>
      <c r="M398" s="6" t="n">
        <v>14028</v>
      </c>
      <c r="N398" s="6" t="n">
        <v>4228</v>
      </c>
      <c r="O398" s="12" t="n">
        <f aca="false">N398/M398</f>
        <v>0.301397205588822</v>
      </c>
      <c r="P398" s="13" t="n">
        <f aca="false">YEAR(B398)</f>
        <v>2023</v>
      </c>
      <c r="Q398" s="13" t="str">
        <f aca="false">"Q"&amp;ROUNDUP(MONTH(B398)/3,0)</f>
        <v>Q3</v>
      </c>
      <c r="R398" s="13" t="str">
        <f aca="false">TEXT(B398,"MMM-YYYY")</f>
        <v>Aug-2023</v>
      </c>
    </row>
    <row r="399" customFormat="false" ht="15" hidden="false" customHeight="true" outlineLevel="0" collapsed="false">
      <c r="A399" s="7" t="s">
        <v>495</v>
      </c>
      <c r="B399" s="8" t="n">
        <v>45142</v>
      </c>
      <c r="C399" s="7" t="s">
        <v>58</v>
      </c>
      <c r="D399" s="7" t="s">
        <v>48</v>
      </c>
      <c r="E399" s="7" t="s">
        <v>62</v>
      </c>
      <c r="F399" s="7" t="s">
        <v>96</v>
      </c>
      <c r="G399" s="9" t="s">
        <v>97</v>
      </c>
      <c r="H399" s="7" t="n">
        <v>9</v>
      </c>
      <c r="I399" s="10" t="n">
        <v>108</v>
      </c>
      <c r="J399" s="10" t="n">
        <v>80</v>
      </c>
      <c r="K399" s="7" t="n">
        <v>9</v>
      </c>
      <c r="L399" s="7" t="s">
        <v>26</v>
      </c>
      <c r="M399" s="10" t="n">
        <v>972</v>
      </c>
      <c r="N399" s="10" t="n">
        <v>252</v>
      </c>
      <c r="O399" s="14" t="n">
        <f aca="false">N399/M399</f>
        <v>0.259259259259259</v>
      </c>
      <c r="P399" s="15" t="n">
        <f aca="false">YEAR(B399)</f>
        <v>2023</v>
      </c>
      <c r="Q399" s="15" t="str">
        <f aca="false">"Q"&amp;ROUNDUP(MONTH(B399)/3,0)</f>
        <v>Q3</v>
      </c>
      <c r="R399" s="15" t="str">
        <f aca="false">TEXT(B399,"MMM-YYYY")</f>
        <v>Aug-2023</v>
      </c>
    </row>
    <row r="400" customFormat="false" ht="15" hidden="false" customHeight="true" outlineLevel="0" collapsed="false">
      <c r="A400" s="3" t="s">
        <v>496</v>
      </c>
      <c r="B400" s="4" t="n">
        <v>45145</v>
      </c>
      <c r="C400" s="3" t="s">
        <v>43</v>
      </c>
      <c r="D400" s="3" t="s">
        <v>16</v>
      </c>
      <c r="E400" s="3" t="s">
        <v>23</v>
      </c>
      <c r="F400" s="3" t="s">
        <v>90</v>
      </c>
      <c r="G400" s="5" t="s">
        <v>91</v>
      </c>
      <c r="H400" s="3" t="n">
        <v>14</v>
      </c>
      <c r="I400" s="6" t="n">
        <v>700</v>
      </c>
      <c r="J400" s="6" t="n">
        <v>600</v>
      </c>
      <c r="K400" s="3" t="n">
        <v>2</v>
      </c>
      <c r="L400" s="3" t="s">
        <v>26</v>
      </c>
      <c r="M400" s="6" t="n">
        <v>9800</v>
      </c>
      <c r="N400" s="6" t="n">
        <v>1400</v>
      </c>
      <c r="O400" s="12" t="n">
        <f aca="false">N400/M400</f>
        <v>0.142857142857143</v>
      </c>
      <c r="P400" s="13" t="n">
        <f aca="false">YEAR(B400)</f>
        <v>2023</v>
      </c>
      <c r="Q400" s="13" t="str">
        <f aca="false">"Q"&amp;ROUNDUP(MONTH(B400)/3,0)</f>
        <v>Q3</v>
      </c>
      <c r="R400" s="13" t="str">
        <f aca="false">TEXT(B400,"MMM-YYYY")</f>
        <v>Aug-2023</v>
      </c>
    </row>
    <row r="401" customFormat="false" ht="15" hidden="false" customHeight="true" outlineLevel="0" collapsed="false">
      <c r="A401" s="7" t="s">
        <v>497</v>
      </c>
      <c r="B401" s="8" t="n">
        <v>45146</v>
      </c>
      <c r="C401" s="7" t="s">
        <v>28</v>
      </c>
      <c r="D401" s="7" t="s">
        <v>29</v>
      </c>
      <c r="E401" s="7" t="s">
        <v>77</v>
      </c>
      <c r="F401" s="7" t="s">
        <v>180</v>
      </c>
      <c r="G401" s="9" t="s">
        <v>181</v>
      </c>
      <c r="H401" s="7" t="n">
        <v>13</v>
      </c>
      <c r="I401" s="10" t="n">
        <v>254</v>
      </c>
      <c r="J401" s="10" t="n">
        <v>180</v>
      </c>
      <c r="K401" s="7" t="n">
        <v>41</v>
      </c>
      <c r="L401" s="7" t="s">
        <v>20</v>
      </c>
      <c r="M401" s="10" t="n">
        <v>3302</v>
      </c>
      <c r="N401" s="10" t="n">
        <v>962</v>
      </c>
      <c r="O401" s="14" t="n">
        <f aca="false">N401/M401</f>
        <v>0.291338582677165</v>
      </c>
      <c r="P401" s="15" t="n">
        <f aca="false">YEAR(B401)</f>
        <v>2023</v>
      </c>
      <c r="Q401" s="15" t="str">
        <f aca="false">"Q"&amp;ROUNDUP(MONTH(B401)/3,0)</f>
        <v>Q3</v>
      </c>
      <c r="R401" s="15" t="str">
        <f aca="false">TEXT(B401,"MMM-YYYY")</f>
        <v>Aug-2023</v>
      </c>
    </row>
    <row r="402" customFormat="false" ht="15" hidden="false" customHeight="true" outlineLevel="0" collapsed="false">
      <c r="A402" s="3" t="s">
        <v>498</v>
      </c>
      <c r="B402" s="4" t="n">
        <v>45147</v>
      </c>
      <c r="C402" s="3" t="s">
        <v>72</v>
      </c>
      <c r="D402" s="3" t="s">
        <v>35</v>
      </c>
      <c r="E402" s="3" t="s">
        <v>17</v>
      </c>
      <c r="F402" s="3" t="s">
        <v>66</v>
      </c>
      <c r="G402" s="5" t="s">
        <v>67</v>
      </c>
      <c r="H402" s="3" t="n">
        <v>7</v>
      </c>
      <c r="I402" s="6" t="n">
        <v>475</v>
      </c>
      <c r="J402" s="6" t="n">
        <v>350</v>
      </c>
      <c r="K402" s="3" t="n">
        <v>12</v>
      </c>
      <c r="L402" s="3" t="s">
        <v>26</v>
      </c>
      <c r="M402" s="6" t="n">
        <v>3325</v>
      </c>
      <c r="N402" s="6" t="n">
        <v>875</v>
      </c>
      <c r="O402" s="12" t="n">
        <f aca="false">N402/M402</f>
        <v>0.263157894736842</v>
      </c>
      <c r="P402" s="13" t="n">
        <f aca="false">YEAR(B402)</f>
        <v>2023</v>
      </c>
      <c r="Q402" s="13" t="str">
        <f aca="false">"Q"&amp;ROUNDUP(MONTH(B402)/3,0)</f>
        <v>Q3</v>
      </c>
      <c r="R402" s="13" t="str">
        <f aca="false">TEXT(B402,"MMM-YYYY")</f>
        <v>Aug-2023</v>
      </c>
    </row>
    <row r="403" customFormat="false" ht="15" hidden="false" customHeight="true" outlineLevel="0" collapsed="false">
      <c r="A403" s="7" t="s">
        <v>499</v>
      </c>
      <c r="B403" s="8" t="n">
        <v>45147</v>
      </c>
      <c r="C403" s="7" t="s">
        <v>94</v>
      </c>
      <c r="D403" s="7" t="s">
        <v>48</v>
      </c>
      <c r="E403" s="7" t="s">
        <v>23</v>
      </c>
      <c r="F403" s="7" t="s">
        <v>49</v>
      </c>
      <c r="G403" s="9" t="s">
        <v>50</v>
      </c>
      <c r="H403" s="7" t="n">
        <v>11</v>
      </c>
      <c r="I403" s="10" t="n">
        <v>21040</v>
      </c>
      <c r="J403" s="10" t="n">
        <v>18000</v>
      </c>
      <c r="K403" s="7" t="n">
        <v>22</v>
      </c>
      <c r="L403" s="7" t="s">
        <v>26</v>
      </c>
      <c r="M403" s="10" t="n">
        <v>231440</v>
      </c>
      <c r="N403" s="10" t="n">
        <v>33440</v>
      </c>
      <c r="O403" s="14" t="n">
        <f aca="false">N403/M403</f>
        <v>0.144486692015209</v>
      </c>
      <c r="P403" s="15" t="n">
        <f aca="false">YEAR(B403)</f>
        <v>2023</v>
      </c>
      <c r="Q403" s="15" t="str">
        <f aca="false">"Q"&amp;ROUNDUP(MONTH(B403)/3,0)</f>
        <v>Q3</v>
      </c>
      <c r="R403" s="15" t="str">
        <f aca="false">TEXT(B403,"MMM-YYYY")</f>
        <v>Aug-2023</v>
      </c>
    </row>
    <row r="404" customFormat="false" ht="15" hidden="false" customHeight="true" outlineLevel="0" collapsed="false">
      <c r="A404" s="3" t="s">
        <v>500</v>
      </c>
      <c r="B404" s="4" t="n">
        <v>45148</v>
      </c>
      <c r="C404" s="3" t="s">
        <v>28</v>
      </c>
      <c r="D404" s="3" t="s">
        <v>29</v>
      </c>
      <c r="E404" s="3" t="s">
        <v>30</v>
      </c>
      <c r="F404" s="3" t="s">
        <v>31</v>
      </c>
      <c r="G404" s="5" t="s">
        <v>32</v>
      </c>
      <c r="H404" s="3" t="n">
        <v>7</v>
      </c>
      <c r="I404" s="6" t="n">
        <v>1765</v>
      </c>
      <c r="J404" s="6" t="n">
        <v>1200</v>
      </c>
      <c r="K404" s="3" t="n">
        <v>11</v>
      </c>
      <c r="L404" s="3" t="s">
        <v>26</v>
      </c>
      <c r="M404" s="6" t="n">
        <v>12355</v>
      </c>
      <c r="N404" s="6" t="n">
        <v>3955</v>
      </c>
      <c r="O404" s="12" t="n">
        <f aca="false">N404/M404</f>
        <v>0.320113314447592</v>
      </c>
      <c r="P404" s="13" t="n">
        <f aca="false">YEAR(B404)</f>
        <v>2023</v>
      </c>
      <c r="Q404" s="13" t="str">
        <f aca="false">"Q"&amp;ROUNDUP(MONTH(B404)/3,0)</f>
        <v>Q3</v>
      </c>
      <c r="R404" s="13" t="str">
        <f aca="false">TEXT(B404,"MMM-YYYY")</f>
        <v>Aug-2023</v>
      </c>
    </row>
    <row r="405" customFormat="false" ht="15" hidden="false" customHeight="true" outlineLevel="0" collapsed="false">
      <c r="A405" s="7" t="s">
        <v>501</v>
      </c>
      <c r="B405" s="8" t="n">
        <v>45148</v>
      </c>
      <c r="C405" s="7" t="s">
        <v>15</v>
      </c>
      <c r="D405" s="7" t="s">
        <v>16</v>
      </c>
      <c r="E405" s="7" t="s">
        <v>30</v>
      </c>
      <c r="F405" s="7" t="s">
        <v>87</v>
      </c>
      <c r="G405" s="9" t="s">
        <v>88</v>
      </c>
      <c r="H405" s="7" t="n">
        <v>13</v>
      </c>
      <c r="I405" s="10" t="n">
        <v>1025</v>
      </c>
      <c r="J405" s="10" t="n">
        <v>700</v>
      </c>
      <c r="K405" s="7" t="n">
        <v>48</v>
      </c>
      <c r="L405" s="7" t="s">
        <v>20</v>
      </c>
      <c r="M405" s="10" t="n">
        <v>13325</v>
      </c>
      <c r="N405" s="10" t="n">
        <v>4225</v>
      </c>
      <c r="O405" s="14" t="n">
        <f aca="false">N405/M405</f>
        <v>0.317073170731707</v>
      </c>
      <c r="P405" s="15" t="n">
        <f aca="false">YEAR(B405)</f>
        <v>2023</v>
      </c>
      <c r="Q405" s="15" t="str">
        <f aca="false">"Q"&amp;ROUNDUP(MONTH(B405)/3,0)</f>
        <v>Q3</v>
      </c>
      <c r="R405" s="15" t="str">
        <f aca="false">TEXT(B405,"MMM-YYYY")</f>
        <v>Aug-2023</v>
      </c>
    </row>
    <row r="406" customFormat="false" ht="15" hidden="false" customHeight="true" outlineLevel="0" collapsed="false">
      <c r="A406" s="3" t="s">
        <v>502</v>
      </c>
      <c r="B406" s="4" t="n">
        <v>45149</v>
      </c>
      <c r="C406" s="3" t="s">
        <v>22</v>
      </c>
      <c r="D406" s="3" t="s">
        <v>16</v>
      </c>
      <c r="E406" s="3" t="s">
        <v>17</v>
      </c>
      <c r="F406" s="3" t="s">
        <v>18</v>
      </c>
      <c r="G406" s="5" t="s">
        <v>19</v>
      </c>
      <c r="H406" s="3" t="n">
        <v>8</v>
      </c>
      <c r="I406" s="6" t="n">
        <v>1252</v>
      </c>
      <c r="J406" s="6" t="n">
        <v>900</v>
      </c>
      <c r="K406" s="3" t="n">
        <v>26</v>
      </c>
      <c r="L406" s="3" t="s">
        <v>26</v>
      </c>
      <c r="M406" s="6" t="n">
        <v>10016</v>
      </c>
      <c r="N406" s="6" t="n">
        <v>2816</v>
      </c>
      <c r="O406" s="12" t="n">
        <f aca="false">N406/M406</f>
        <v>0.281150159744409</v>
      </c>
      <c r="P406" s="13" t="n">
        <f aca="false">YEAR(B406)</f>
        <v>2023</v>
      </c>
      <c r="Q406" s="13" t="str">
        <f aca="false">"Q"&amp;ROUNDUP(MONTH(B406)/3,0)</f>
        <v>Q3</v>
      </c>
      <c r="R406" s="13" t="str">
        <f aca="false">TEXT(B406,"MMM-YYYY")</f>
        <v>Aug-2023</v>
      </c>
    </row>
    <row r="407" customFormat="false" ht="15" hidden="false" customHeight="true" outlineLevel="0" collapsed="false">
      <c r="A407" s="7" t="s">
        <v>503</v>
      </c>
      <c r="B407" s="8" t="n">
        <v>45151</v>
      </c>
      <c r="C407" s="7" t="s">
        <v>111</v>
      </c>
      <c r="D407" s="7" t="s">
        <v>29</v>
      </c>
      <c r="E407" s="7" t="s">
        <v>77</v>
      </c>
      <c r="F407" s="7" t="s">
        <v>180</v>
      </c>
      <c r="G407" s="9" t="s">
        <v>181</v>
      </c>
      <c r="H407" s="7" t="n">
        <v>1</v>
      </c>
      <c r="I407" s="10" t="n">
        <v>251</v>
      </c>
      <c r="J407" s="10" t="n">
        <v>180</v>
      </c>
      <c r="K407" s="7" t="n">
        <v>20</v>
      </c>
      <c r="L407" s="7" t="s">
        <v>20</v>
      </c>
      <c r="M407" s="10" t="n">
        <v>251</v>
      </c>
      <c r="N407" s="10" t="n">
        <v>71</v>
      </c>
      <c r="O407" s="14" t="n">
        <f aca="false">N407/M407</f>
        <v>0.282868525896414</v>
      </c>
      <c r="P407" s="15" t="n">
        <f aca="false">YEAR(B407)</f>
        <v>2023</v>
      </c>
      <c r="Q407" s="15" t="str">
        <f aca="false">"Q"&amp;ROUNDUP(MONTH(B407)/3,0)</f>
        <v>Q3</v>
      </c>
      <c r="R407" s="15" t="str">
        <f aca="false">TEXT(B407,"MMM-YYYY")</f>
        <v>Aug-2023</v>
      </c>
    </row>
    <row r="408" customFormat="false" ht="15" hidden="false" customHeight="true" outlineLevel="0" collapsed="false">
      <c r="A408" s="3" t="s">
        <v>504</v>
      </c>
      <c r="B408" s="4" t="n">
        <v>45153</v>
      </c>
      <c r="C408" s="3" t="s">
        <v>15</v>
      </c>
      <c r="D408" s="3" t="s">
        <v>16</v>
      </c>
      <c r="E408" s="3" t="s">
        <v>39</v>
      </c>
      <c r="F408" s="3" t="s">
        <v>220</v>
      </c>
      <c r="G408" s="5" t="s">
        <v>221</v>
      </c>
      <c r="H408" s="3" t="n">
        <v>7</v>
      </c>
      <c r="I408" s="6" t="n">
        <v>220</v>
      </c>
      <c r="J408" s="6" t="n">
        <v>180</v>
      </c>
      <c r="K408" s="3" t="n">
        <v>16</v>
      </c>
      <c r="L408" s="3" t="s">
        <v>20</v>
      </c>
      <c r="M408" s="6" t="n">
        <v>1540</v>
      </c>
      <c r="N408" s="6" t="n">
        <v>280</v>
      </c>
      <c r="O408" s="12" t="n">
        <f aca="false">N408/M408</f>
        <v>0.181818181818182</v>
      </c>
      <c r="P408" s="13" t="n">
        <f aca="false">YEAR(B408)</f>
        <v>2023</v>
      </c>
      <c r="Q408" s="13" t="str">
        <f aca="false">"Q"&amp;ROUNDUP(MONTH(B408)/3,0)</f>
        <v>Q3</v>
      </c>
      <c r="R408" s="13" t="str">
        <f aca="false">TEXT(B408,"MMM-YYYY")</f>
        <v>Aug-2023</v>
      </c>
    </row>
    <row r="409" customFormat="false" ht="15" hidden="false" customHeight="true" outlineLevel="0" collapsed="false">
      <c r="A409" s="7" t="s">
        <v>505</v>
      </c>
      <c r="B409" s="8" t="n">
        <v>45159</v>
      </c>
      <c r="C409" s="7" t="s">
        <v>72</v>
      </c>
      <c r="D409" s="7" t="s">
        <v>35</v>
      </c>
      <c r="E409" s="7" t="s">
        <v>62</v>
      </c>
      <c r="F409" s="7" t="s">
        <v>63</v>
      </c>
      <c r="G409" s="9" t="s">
        <v>64</v>
      </c>
      <c r="H409" s="7" t="n">
        <v>2</v>
      </c>
      <c r="I409" s="10" t="n">
        <v>81</v>
      </c>
      <c r="J409" s="10" t="n">
        <v>60</v>
      </c>
      <c r="K409" s="7" t="n">
        <v>9</v>
      </c>
      <c r="L409" s="7" t="s">
        <v>20</v>
      </c>
      <c r="M409" s="10" t="n">
        <v>162</v>
      </c>
      <c r="N409" s="10" t="n">
        <v>42</v>
      </c>
      <c r="O409" s="14" t="n">
        <f aca="false">N409/M409</f>
        <v>0.259259259259259</v>
      </c>
      <c r="P409" s="15" t="n">
        <f aca="false">YEAR(B409)</f>
        <v>2023</v>
      </c>
      <c r="Q409" s="15" t="str">
        <f aca="false">"Q"&amp;ROUNDUP(MONTH(B409)/3,0)</f>
        <v>Q3</v>
      </c>
      <c r="R409" s="15" t="str">
        <f aca="false">TEXT(B409,"MMM-YYYY")</f>
        <v>Aug-2023</v>
      </c>
    </row>
    <row r="410" customFormat="false" ht="15" hidden="false" customHeight="true" outlineLevel="0" collapsed="false">
      <c r="A410" s="3" t="s">
        <v>506</v>
      </c>
      <c r="B410" s="4" t="n">
        <v>45160</v>
      </c>
      <c r="C410" s="3" t="s">
        <v>47</v>
      </c>
      <c r="D410" s="3" t="s">
        <v>48</v>
      </c>
      <c r="E410" s="3" t="s">
        <v>17</v>
      </c>
      <c r="F410" s="3" t="s">
        <v>44</v>
      </c>
      <c r="G410" s="5" t="s">
        <v>45</v>
      </c>
      <c r="H410" s="3" t="n">
        <v>4</v>
      </c>
      <c r="I410" s="6" t="n">
        <v>342</v>
      </c>
      <c r="J410" s="6" t="n">
        <v>250</v>
      </c>
      <c r="K410" s="3" t="n">
        <v>40</v>
      </c>
      <c r="L410" s="3" t="s">
        <v>26</v>
      </c>
      <c r="M410" s="6" t="n">
        <v>1368</v>
      </c>
      <c r="N410" s="6" t="n">
        <v>368</v>
      </c>
      <c r="O410" s="12" t="n">
        <f aca="false">N410/M410</f>
        <v>0.269005847953216</v>
      </c>
      <c r="P410" s="13" t="n">
        <f aca="false">YEAR(B410)</f>
        <v>2023</v>
      </c>
      <c r="Q410" s="13" t="str">
        <f aca="false">"Q"&amp;ROUNDUP(MONTH(B410)/3,0)</f>
        <v>Q3</v>
      </c>
      <c r="R410" s="13" t="str">
        <f aca="false">TEXT(B410,"MMM-YYYY")</f>
        <v>Aug-2023</v>
      </c>
    </row>
    <row r="411" customFormat="false" ht="15" hidden="false" customHeight="true" outlineLevel="0" collapsed="false">
      <c r="A411" s="7" t="s">
        <v>507</v>
      </c>
      <c r="B411" s="8" t="n">
        <v>45160</v>
      </c>
      <c r="C411" s="7" t="s">
        <v>28</v>
      </c>
      <c r="D411" s="7" t="s">
        <v>29</v>
      </c>
      <c r="E411" s="7" t="s">
        <v>17</v>
      </c>
      <c r="F411" s="7" t="s">
        <v>54</v>
      </c>
      <c r="G411" s="9" t="s">
        <v>55</v>
      </c>
      <c r="H411" s="7" t="n">
        <v>14</v>
      </c>
      <c r="I411" s="10" t="n">
        <v>602</v>
      </c>
      <c r="J411" s="10" t="n">
        <v>450</v>
      </c>
      <c r="K411" s="7" t="n">
        <v>30</v>
      </c>
      <c r="L411" s="7" t="s">
        <v>20</v>
      </c>
      <c r="M411" s="10" t="n">
        <v>8428</v>
      </c>
      <c r="N411" s="10" t="n">
        <v>2128</v>
      </c>
      <c r="O411" s="14" t="n">
        <f aca="false">N411/M411</f>
        <v>0.252491694352159</v>
      </c>
      <c r="P411" s="15" t="n">
        <f aca="false">YEAR(B411)</f>
        <v>2023</v>
      </c>
      <c r="Q411" s="15" t="str">
        <f aca="false">"Q"&amp;ROUNDUP(MONTH(B411)/3,0)</f>
        <v>Q3</v>
      </c>
      <c r="R411" s="15" t="str">
        <f aca="false">TEXT(B411,"MMM-YYYY")</f>
        <v>Aug-2023</v>
      </c>
    </row>
    <row r="412" customFormat="false" ht="15" hidden="false" customHeight="true" outlineLevel="0" collapsed="false">
      <c r="A412" s="3" t="s">
        <v>508</v>
      </c>
      <c r="B412" s="4" t="n">
        <v>45162</v>
      </c>
      <c r="C412" s="3" t="s">
        <v>43</v>
      </c>
      <c r="D412" s="3" t="s">
        <v>16</v>
      </c>
      <c r="E412" s="3" t="s">
        <v>39</v>
      </c>
      <c r="F412" s="3" t="s">
        <v>40</v>
      </c>
      <c r="G412" s="5" t="s">
        <v>41</v>
      </c>
      <c r="H412" s="3" t="n">
        <v>14</v>
      </c>
      <c r="I412" s="6" t="n">
        <v>111</v>
      </c>
      <c r="J412" s="6" t="n">
        <v>90</v>
      </c>
      <c r="K412" s="3" t="n">
        <v>0</v>
      </c>
      <c r="L412" s="3" t="s">
        <v>20</v>
      </c>
      <c r="M412" s="6" t="n">
        <v>1554</v>
      </c>
      <c r="N412" s="6" t="n">
        <v>294</v>
      </c>
      <c r="O412" s="12" t="n">
        <f aca="false">N412/M412</f>
        <v>0.189189189189189</v>
      </c>
      <c r="P412" s="13" t="n">
        <f aca="false">YEAR(B412)</f>
        <v>2023</v>
      </c>
      <c r="Q412" s="13" t="str">
        <f aca="false">"Q"&amp;ROUNDUP(MONTH(B412)/3,0)</f>
        <v>Q3</v>
      </c>
      <c r="R412" s="13" t="str">
        <f aca="false">TEXT(B412,"MMM-YYYY")</f>
        <v>Aug-2023</v>
      </c>
    </row>
    <row r="413" customFormat="false" ht="15" hidden="false" customHeight="true" outlineLevel="0" collapsed="false">
      <c r="A413" s="7" t="s">
        <v>509</v>
      </c>
      <c r="B413" s="8" t="n">
        <v>45163</v>
      </c>
      <c r="C413" s="7" t="s">
        <v>72</v>
      </c>
      <c r="D413" s="7" t="s">
        <v>35</v>
      </c>
      <c r="E413" s="7" t="s">
        <v>62</v>
      </c>
      <c r="F413" s="7" t="s">
        <v>103</v>
      </c>
      <c r="G413" s="9" t="s">
        <v>104</v>
      </c>
      <c r="H413" s="7" t="n">
        <v>3</v>
      </c>
      <c r="I413" s="10" t="n">
        <v>123</v>
      </c>
      <c r="J413" s="10" t="n">
        <v>90</v>
      </c>
      <c r="K413" s="7" t="n">
        <v>7</v>
      </c>
      <c r="L413" s="7" t="s">
        <v>26</v>
      </c>
      <c r="M413" s="10" t="n">
        <v>369</v>
      </c>
      <c r="N413" s="10" t="n">
        <v>99</v>
      </c>
      <c r="O413" s="14" t="n">
        <f aca="false">N413/M413</f>
        <v>0.268292682926829</v>
      </c>
      <c r="P413" s="15" t="n">
        <f aca="false">YEAR(B413)</f>
        <v>2023</v>
      </c>
      <c r="Q413" s="15" t="str">
        <f aca="false">"Q"&amp;ROUNDUP(MONTH(B413)/3,0)</f>
        <v>Q3</v>
      </c>
      <c r="R413" s="15" t="str">
        <f aca="false">TEXT(B413,"MMM-YYYY")</f>
        <v>Aug-2023</v>
      </c>
    </row>
    <row r="414" customFormat="false" ht="15" hidden="false" customHeight="true" outlineLevel="0" collapsed="false">
      <c r="A414" s="3" t="s">
        <v>510</v>
      </c>
      <c r="B414" s="4" t="n">
        <v>45164</v>
      </c>
      <c r="C414" s="3" t="s">
        <v>72</v>
      </c>
      <c r="D414" s="3" t="s">
        <v>35</v>
      </c>
      <c r="E414" s="3" t="s">
        <v>39</v>
      </c>
      <c r="F414" s="3" t="s">
        <v>143</v>
      </c>
      <c r="G414" s="5" t="s">
        <v>144</v>
      </c>
      <c r="H414" s="3" t="n">
        <v>2</v>
      </c>
      <c r="I414" s="6" t="n">
        <v>328</v>
      </c>
      <c r="J414" s="6" t="n">
        <v>280</v>
      </c>
      <c r="K414" s="3" t="n">
        <v>19</v>
      </c>
      <c r="L414" s="3" t="s">
        <v>20</v>
      </c>
      <c r="M414" s="6" t="n">
        <v>656</v>
      </c>
      <c r="N414" s="6" t="n">
        <v>96</v>
      </c>
      <c r="O414" s="12" t="n">
        <f aca="false">N414/M414</f>
        <v>0.146341463414634</v>
      </c>
      <c r="P414" s="13" t="n">
        <f aca="false">YEAR(B414)</f>
        <v>2023</v>
      </c>
      <c r="Q414" s="13" t="str">
        <f aca="false">"Q"&amp;ROUNDUP(MONTH(B414)/3,0)</f>
        <v>Q3</v>
      </c>
      <c r="R414" s="13" t="str">
        <f aca="false">TEXT(B414,"MMM-YYYY")</f>
        <v>Aug-2023</v>
      </c>
    </row>
    <row r="415" customFormat="false" ht="15" hidden="false" customHeight="true" outlineLevel="0" collapsed="false">
      <c r="A415" s="7" t="s">
        <v>511</v>
      </c>
      <c r="B415" s="8" t="n">
        <v>45164</v>
      </c>
      <c r="C415" s="7" t="s">
        <v>52</v>
      </c>
      <c r="D415" s="7" t="s">
        <v>29</v>
      </c>
      <c r="E415" s="7" t="s">
        <v>30</v>
      </c>
      <c r="F415" s="7" t="s">
        <v>87</v>
      </c>
      <c r="G415" s="9" t="s">
        <v>88</v>
      </c>
      <c r="H415" s="7" t="n">
        <v>7</v>
      </c>
      <c r="I415" s="10" t="n">
        <v>975</v>
      </c>
      <c r="J415" s="10" t="n">
        <v>700</v>
      </c>
      <c r="K415" s="7" t="n">
        <v>46</v>
      </c>
      <c r="L415" s="7" t="s">
        <v>26</v>
      </c>
      <c r="M415" s="10" t="n">
        <v>6825</v>
      </c>
      <c r="N415" s="10" t="n">
        <v>1925</v>
      </c>
      <c r="O415" s="14" t="n">
        <f aca="false">N415/M415</f>
        <v>0.282051282051282</v>
      </c>
      <c r="P415" s="15" t="n">
        <f aca="false">YEAR(B415)</f>
        <v>2023</v>
      </c>
      <c r="Q415" s="15" t="str">
        <f aca="false">"Q"&amp;ROUNDUP(MONTH(B415)/3,0)</f>
        <v>Q3</v>
      </c>
      <c r="R415" s="15" t="str">
        <f aca="false">TEXT(B415,"MMM-YYYY")</f>
        <v>Aug-2023</v>
      </c>
    </row>
    <row r="416" customFormat="false" ht="15" hidden="false" customHeight="true" outlineLevel="0" collapsed="false">
      <c r="A416" s="3" t="s">
        <v>512</v>
      </c>
      <c r="B416" s="4" t="n">
        <v>45165</v>
      </c>
      <c r="C416" s="3" t="s">
        <v>43</v>
      </c>
      <c r="D416" s="3" t="s">
        <v>16</v>
      </c>
      <c r="E416" s="3" t="s">
        <v>77</v>
      </c>
      <c r="F416" s="3" t="s">
        <v>129</v>
      </c>
      <c r="G416" s="5" t="s">
        <v>130</v>
      </c>
      <c r="H416" s="3" t="n">
        <v>15</v>
      </c>
      <c r="I416" s="6" t="n">
        <v>169</v>
      </c>
      <c r="J416" s="6" t="n">
        <v>120</v>
      </c>
      <c r="K416" s="3" t="n">
        <v>28</v>
      </c>
      <c r="L416" s="3" t="s">
        <v>26</v>
      </c>
      <c r="M416" s="6" t="n">
        <v>2535</v>
      </c>
      <c r="N416" s="6" t="n">
        <v>735</v>
      </c>
      <c r="O416" s="12" t="n">
        <f aca="false">N416/M416</f>
        <v>0.289940828402367</v>
      </c>
      <c r="P416" s="13" t="n">
        <f aca="false">YEAR(B416)</f>
        <v>2023</v>
      </c>
      <c r="Q416" s="13" t="str">
        <f aca="false">"Q"&amp;ROUNDUP(MONTH(B416)/3,0)</f>
        <v>Q3</v>
      </c>
      <c r="R416" s="13" t="str">
        <f aca="false">TEXT(B416,"MMM-YYYY")</f>
        <v>Aug-2023</v>
      </c>
    </row>
    <row r="417" customFormat="false" ht="15" hidden="false" customHeight="true" outlineLevel="0" collapsed="false">
      <c r="A417" s="7" t="s">
        <v>513</v>
      </c>
      <c r="B417" s="8" t="n">
        <v>45166</v>
      </c>
      <c r="C417" s="7" t="s">
        <v>43</v>
      </c>
      <c r="D417" s="7" t="s">
        <v>16</v>
      </c>
      <c r="E417" s="7" t="s">
        <v>23</v>
      </c>
      <c r="F417" s="7" t="s">
        <v>204</v>
      </c>
      <c r="G417" s="9" t="s">
        <v>205</v>
      </c>
      <c r="H417" s="7" t="n">
        <v>1</v>
      </c>
      <c r="I417" s="10" t="n">
        <v>2239</v>
      </c>
      <c r="J417" s="10" t="n">
        <v>1800</v>
      </c>
      <c r="K417" s="7" t="n">
        <v>12</v>
      </c>
      <c r="L417" s="7" t="s">
        <v>26</v>
      </c>
      <c r="M417" s="10" t="n">
        <v>2239</v>
      </c>
      <c r="N417" s="10" t="n">
        <v>439</v>
      </c>
      <c r="O417" s="14" t="n">
        <f aca="false">N417/M417</f>
        <v>0.19606967396159</v>
      </c>
      <c r="P417" s="15" t="n">
        <f aca="false">YEAR(B417)</f>
        <v>2023</v>
      </c>
      <c r="Q417" s="15" t="str">
        <f aca="false">"Q"&amp;ROUNDUP(MONTH(B417)/3,0)</f>
        <v>Q3</v>
      </c>
      <c r="R417" s="15" t="str">
        <f aca="false">TEXT(B417,"MMM-YYYY")</f>
        <v>Aug-2023</v>
      </c>
    </row>
    <row r="418" customFormat="false" ht="15" hidden="false" customHeight="true" outlineLevel="0" collapsed="false">
      <c r="A418" s="3" t="s">
        <v>514</v>
      </c>
      <c r="B418" s="4" t="n">
        <v>45170</v>
      </c>
      <c r="C418" s="3" t="s">
        <v>136</v>
      </c>
      <c r="D418" s="3" t="s">
        <v>35</v>
      </c>
      <c r="E418" s="3" t="s">
        <v>77</v>
      </c>
      <c r="F418" s="3" t="s">
        <v>81</v>
      </c>
      <c r="G418" s="5" t="s">
        <v>82</v>
      </c>
      <c r="H418" s="3" t="n">
        <v>11</v>
      </c>
      <c r="I418" s="6" t="n">
        <v>818</v>
      </c>
      <c r="J418" s="6" t="n">
        <v>600</v>
      </c>
      <c r="K418" s="3" t="n">
        <v>40</v>
      </c>
      <c r="L418" s="3" t="s">
        <v>26</v>
      </c>
      <c r="M418" s="6" t="n">
        <v>8998</v>
      </c>
      <c r="N418" s="6" t="n">
        <v>2398</v>
      </c>
      <c r="O418" s="12" t="n">
        <f aca="false">N418/M418</f>
        <v>0.266503667481663</v>
      </c>
      <c r="P418" s="13" t="n">
        <f aca="false">YEAR(B418)</f>
        <v>2023</v>
      </c>
      <c r="Q418" s="13" t="str">
        <f aca="false">"Q"&amp;ROUNDUP(MONTH(B418)/3,0)</f>
        <v>Q3</v>
      </c>
      <c r="R418" s="13" t="str">
        <f aca="false">TEXT(B418,"MMM-YYYY")</f>
        <v>Sep-2023</v>
      </c>
    </row>
    <row r="419" customFormat="false" ht="15" hidden="false" customHeight="true" outlineLevel="0" collapsed="false">
      <c r="A419" s="7" t="s">
        <v>515</v>
      </c>
      <c r="B419" s="8" t="n">
        <v>45172</v>
      </c>
      <c r="C419" s="7" t="s">
        <v>43</v>
      </c>
      <c r="D419" s="7" t="s">
        <v>16</v>
      </c>
      <c r="E419" s="7" t="s">
        <v>77</v>
      </c>
      <c r="F419" s="7" t="s">
        <v>152</v>
      </c>
      <c r="G419" s="9" t="s">
        <v>153</v>
      </c>
      <c r="H419" s="7" t="n">
        <v>7</v>
      </c>
      <c r="I419" s="10" t="n">
        <v>497</v>
      </c>
      <c r="J419" s="10" t="n">
        <v>350</v>
      </c>
      <c r="K419" s="7" t="n">
        <v>10</v>
      </c>
      <c r="L419" s="7" t="s">
        <v>26</v>
      </c>
      <c r="M419" s="10" t="n">
        <v>3479</v>
      </c>
      <c r="N419" s="10" t="n">
        <v>1029</v>
      </c>
      <c r="O419" s="14" t="n">
        <f aca="false">N419/M419</f>
        <v>0.295774647887324</v>
      </c>
      <c r="P419" s="15" t="n">
        <f aca="false">YEAR(B419)</f>
        <v>2023</v>
      </c>
      <c r="Q419" s="15" t="str">
        <f aca="false">"Q"&amp;ROUNDUP(MONTH(B419)/3,0)</f>
        <v>Q3</v>
      </c>
      <c r="R419" s="15" t="str">
        <f aca="false">TEXT(B419,"MMM-YYYY")</f>
        <v>Sep-2023</v>
      </c>
    </row>
    <row r="420" customFormat="false" ht="15" hidden="false" customHeight="true" outlineLevel="0" collapsed="false">
      <c r="A420" s="3" t="s">
        <v>516</v>
      </c>
      <c r="B420" s="4" t="n">
        <v>45172</v>
      </c>
      <c r="C420" s="3" t="s">
        <v>136</v>
      </c>
      <c r="D420" s="3" t="s">
        <v>35</v>
      </c>
      <c r="E420" s="3" t="s">
        <v>30</v>
      </c>
      <c r="F420" s="3" t="s">
        <v>118</v>
      </c>
      <c r="G420" s="5" t="s">
        <v>119</v>
      </c>
      <c r="H420" s="3" t="n">
        <v>13</v>
      </c>
      <c r="I420" s="6" t="n">
        <v>394</v>
      </c>
      <c r="J420" s="6" t="n">
        <v>280</v>
      </c>
      <c r="K420" s="3" t="n">
        <v>27</v>
      </c>
      <c r="L420" s="3" t="s">
        <v>20</v>
      </c>
      <c r="M420" s="6" t="n">
        <v>5122</v>
      </c>
      <c r="N420" s="6" t="n">
        <v>1482</v>
      </c>
      <c r="O420" s="12" t="n">
        <f aca="false">N420/M420</f>
        <v>0.289340101522843</v>
      </c>
      <c r="P420" s="13" t="n">
        <f aca="false">YEAR(B420)</f>
        <v>2023</v>
      </c>
      <c r="Q420" s="13" t="str">
        <f aca="false">"Q"&amp;ROUNDUP(MONTH(B420)/3,0)</f>
        <v>Q3</v>
      </c>
      <c r="R420" s="13" t="str">
        <f aca="false">TEXT(B420,"MMM-YYYY")</f>
        <v>Sep-2023</v>
      </c>
    </row>
    <row r="421" customFormat="false" ht="15" hidden="false" customHeight="true" outlineLevel="0" collapsed="false">
      <c r="A421" s="7" t="s">
        <v>517</v>
      </c>
      <c r="B421" s="8" t="n">
        <v>45173</v>
      </c>
      <c r="C421" s="7" t="s">
        <v>28</v>
      </c>
      <c r="D421" s="7" t="s">
        <v>29</v>
      </c>
      <c r="E421" s="7" t="s">
        <v>62</v>
      </c>
      <c r="F421" s="7" t="s">
        <v>103</v>
      </c>
      <c r="G421" s="9" t="s">
        <v>104</v>
      </c>
      <c r="H421" s="7" t="n">
        <v>1</v>
      </c>
      <c r="I421" s="10" t="n">
        <v>120</v>
      </c>
      <c r="J421" s="10" t="n">
        <v>90</v>
      </c>
      <c r="K421" s="7" t="n">
        <v>28</v>
      </c>
      <c r="L421" s="7" t="s">
        <v>20</v>
      </c>
      <c r="M421" s="10" t="n">
        <v>120</v>
      </c>
      <c r="N421" s="10" t="n">
        <v>30</v>
      </c>
      <c r="O421" s="14" t="n">
        <f aca="false">N421/M421</f>
        <v>0.25</v>
      </c>
      <c r="P421" s="15" t="n">
        <f aca="false">YEAR(B421)</f>
        <v>2023</v>
      </c>
      <c r="Q421" s="15" t="str">
        <f aca="false">"Q"&amp;ROUNDUP(MONTH(B421)/3,0)</f>
        <v>Q3</v>
      </c>
      <c r="R421" s="15" t="str">
        <f aca="false">TEXT(B421,"MMM-YYYY")</f>
        <v>Sep-2023</v>
      </c>
    </row>
    <row r="422" customFormat="false" ht="15" hidden="false" customHeight="true" outlineLevel="0" collapsed="false">
      <c r="A422" s="3" t="s">
        <v>518</v>
      </c>
      <c r="B422" s="4" t="n">
        <v>45174</v>
      </c>
      <c r="C422" s="3" t="s">
        <v>72</v>
      </c>
      <c r="D422" s="3" t="s">
        <v>35</v>
      </c>
      <c r="E422" s="3" t="s">
        <v>77</v>
      </c>
      <c r="F422" s="3" t="s">
        <v>78</v>
      </c>
      <c r="G422" s="5" t="s">
        <v>79</v>
      </c>
      <c r="H422" s="3" t="n">
        <v>9</v>
      </c>
      <c r="I422" s="6" t="n">
        <v>1297</v>
      </c>
      <c r="J422" s="6" t="n">
        <v>900</v>
      </c>
      <c r="K422" s="3" t="n">
        <v>37</v>
      </c>
      <c r="L422" s="3" t="s">
        <v>26</v>
      </c>
      <c r="M422" s="6" t="n">
        <v>11673</v>
      </c>
      <c r="N422" s="6" t="n">
        <v>3573</v>
      </c>
      <c r="O422" s="12" t="n">
        <f aca="false">N422/M422</f>
        <v>0.306090979182729</v>
      </c>
      <c r="P422" s="13" t="n">
        <f aca="false">YEAR(B422)</f>
        <v>2023</v>
      </c>
      <c r="Q422" s="13" t="str">
        <f aca="false">"Q"&amp;ROUNDUP(MONTH(B422)/3,0)</f>
        <v>Q3</v>
      </c>
      <c r="R422" s="13" t="str">
        <f aca="false">TEXT(B422,"MMM-YYYY")</f>
        <v>Sep-2023</v>
      </c>
    </row>
    <row r="423" customFormat="false" ht="15" hidden="false" customHeight="true" outlineLevel="0" collapsed="false">
      <c r="A423" s="7" t="s">
        <v>519</v>
      </c>
      <c r="B423" s="8" t="n">
        <v>45174</v>
      </c>
      <c r="C423" s="7" t="s">
        <v>34</v>
      </c>
      <c r="D423" s="7" t="s">
        <v>35</v>
      </c>
      <c r="E423" s="7" t="s">
        <v>39</v>
      </c>
      <c r="F423" s="7" t="s">
        <v>40</v>
      </c>
      <c r="G423" s="9" t="s">
        <v>41</v>
      </c>
      <c r="H423" s="7" t="n">
        <v>13</v>
      </c>
      <c r="I423" s="10" t="n">
        <v>108</v>
      </c>
      <c r="J423" s="10" t="n">
        <v>90</v>
      </c>
      <c r="K423" s="7" t="n">
        <v>10</v>
      </c>
      <c r="L423" s="7" t="s">
        <v>26</v>
      </c>
      <c r="M423" s="10" t="n">
        <v>1404</v>
      </c>
      <c r="N423" s="10" t="n">
        <v>234</v>
      </c>
      <c r="O423" s="14" t="n">
        <f aca="false">N423/M423</f>
        <v>0.166666666666667</v>
      </c>
      <c r="P423" s="15" t="n">
        <f aca="false">YEAR(B423)</f>
        <v>2023</v>
      </c>
      <c r="Q423" s="15" t="str">
        <f aca="false">"Q"&amp;ROUNDUP(MONTH(B423)/3,0)</f>
        <v>Q3</v>
      </c>
      <c r="R423" s="15" t="str">
        <f aca="false">TEXT(B423,"MMM-YYYY")</f>
        <v>Sep-2023</v>
      </c>
    </row>
    <row r="424" customFormat="false" ht="15" hidden="false" customHeight="true" outlineLevel="0" collapsed="false">
      <c r="A424" s="3" t="s">
        <v>520</v>
      </c>
      <c r="B424" s="4" t="n">
        <v>45178</v>
      </c>
      <c r="C424" s="3" t="s">
        <v>28</v>
      </c>
      <c r="D424" s="3" t="s">
        <v>29</v>
      </c>
      <c r="E424" s="3" t="s">
        <v>23</v>
      </c>
      <c r="F424" s="3" t="s">
        <v>90</v>
      </c>
      <c r="G424" s="5" t="s">
        <v>91</v>
      </c>
      <c r="H424" s="3" t="n">
        <v>1</v>
      </c>
      <c r="I424" s="6" t="n">
        <v>726</v>
      </c>
      <c r="J424" s="6" t="n">
        <v>600</v>
      </c>
      <c r="K424" s="3" t="n">
        <v>19</v>
      </c>
      <c r="L424" s="3" t="s">
        <v>26</v>
      </c>
      <c r="M424" s="6" t="n">
        <v>726</v>
      </c>
      <c r="N424" s="6" t="n">
        <v>126</v>
      </c>
      <c r="O424" s="12" t="n">
        <f aca="false">N424/M424</f>
        <v>0.173553719008264</v>
      </c>
      <c r="P424" s="13" t="n">
        <f aca="false">YEAR(B424)</f>
        <v>2023</v>
      </c>
      <c r="Q424" s="13" t="str">
        <f aca="false">"Q"&amp;ROUNDUP(MONTH(B424)/3,0)</f>
        <v>Q3</v>
      </c>
      <c r="R424" s="13" t="str">
        <f aca="false">TEXT(B424,"MMM-YYYY")</f>
        <v>Sep-2023</v>
      </c>
    </row>
    <row r="425" customFormat="false" ht="15" hidden="false" customHeight="true" outlineLevel="0" collapsed="false">
      <c r="A425" s="7" t="s">
        <v>521</v>
      </c>
      <c r="B425" s="8" t="n">
        <v>45178</v>
      </c>
      <c r="C425" s="7" t="s">
        <v>34</v>
      </c>
      <c r="D425" s="7" t="s">
        <v>35</v>
      </c>
      <c r="E425" s="7" t="s">
        <v>39</v>
      </c>
      <c r="F425" s="7" t="s">
        <v>220</v>
      </c>
      <c r="G425" s="9" t="s">
        <v>221</v>
      </c>
      <c r="H425" s="7" t="n">
        <v>5</v>
      </c>
      <c r="I425" s="10" t="n">
        <v>222</v>
      </c>
      <c r="J425" s="10" t="n">
        <v>180</v>
      </c>
      <c r="K425" s="7" t="n">
        <v>4</v>
      </c>
      <c r="L425" s="7" t="s">
        <v>20</v>
      </c>
      <c r="M425" s="10" t="n">
        <v>1110</v>
      </c>
      <c r="N425" s="10" t="n">
        <v>210</v>
      </c>
      <c r="O425" s="14" t="n">
        <f aca="false">N425/M425</f>
        <v>0.189189189189189</v>
      </c>
      <c r="P425" s="15" t="n">
        <f aca="false">YEAR(B425)</f>
        <v>2023</v>
      </c>
      <c r="Q425" s="15" t="str">
        <f aca="false">"Q"&amp;ROUNDUP(MONTH(B425)/3,0)</f>
        <v>Q3</v>
      </c>
      <c r="R425" s="15" t="str">
        <f aca="false">TEXT(B425,"MMM-YYYY")</f>
        <v>Sep-2023</v>
      </c>
    </row>
    <row r="426" customFormat="false" ht="15" hidden="false" customHeight="true" outlineLevel="0" collapsed="false">
      <c r="A426" s="3" t="s">
        <v>522</v>
      </c>
      <c r="B426" s="4" t="n">
        <v>45179</v>
      </c>
      <c r="C426" s="3" t="s">
        <v>94</v>
      </c>
      <c r="D426" s="3" t="s">
        <v>48</v>
      </c>
      <c r="E426" s="3" t="s">
        <v>17</v>
      </c>
      <c r="F426" s="3" t="s">
        <v>66</v>
      </c>
      <c r="G426" s="5" t="s">
        <v>67</v>
      </c>
      <c r="H426" s="3" t="n">
        <v>7</v>
      </c>
      <c r="I426" s="6" t="n">
        <v>487</v>
      </c>
      <c r="J426" s="6" t="n">
        <v>350</v>
      </c>
      <c r="K426" s="3" t="n">
        <v>14</v>
      </c>
      <c r="L426" s="3" t="s">
        <v>20</v>
      </c>
      <c r="M426" s="6" t="n">
        <v>3409</v>
      </c>
      <c r="N426" s="6" t="n">
        <v>959</v>
      </c>
      <c r="O426" s="12" t="n">
        <f aca="false">N426/M426</f>
        <v>0.281314168377823</v>
      </c>
      <c r="P426" s="13" t="n">
        <f aca="false">YEAR(B426)</f>
        <v>2023</v>
      </c>
      <c r="Q426" s="13" t="str">
        <f aca="false">"Q"&amp;ROUNDUP(MONTH(B426)/3,0)</f>
        <v>Q3</v>
      </c>
      <c r="R426" s="13" t="str">
        <f aca="false">TEXT(B426,"MMM-YYYY")</f>
        <v>Sep-2023</v>
      </c>
    </row>
    <row r="427" customFormat="false" ht="15" hidden="false" customHeight="true" outlineLevel="0" collapsed="false">
      <c r="A427" s="7" t="s">
        <v>523</v>
      </c>
      <c r="B427" s="8" t="n">
        <v>45181</v>
      </c>
      <c r="C427" s="7" t="s">
        <v>22</v>
      </c>
      <c r="D427" s="7" t="s">
        <v>16</v>
      </c>
      <c r="E427" s="7" t="s">
        <v>62</v>
      </c>
      <c r="F427" s="7" t="s">
        <v>69</v>
      </c>
      <c r="G427" s="9" t="s">
        <v>70</v>
      </c>
      <c r="H427" s="7" t="n">
        <v>10</v>
      </c>
      <c r="I427" s="10" t="n">
        <v>68</v>
      </c>
      <c r="J427" s="10" t="n">
        <v>50</v>
      </c>
      <c r="K427" s="7" t="n">
        <v>16</v>
      </c>
      <c r="L427" s="7" t="s">
        <v>26</v>
      </c>
      <c r="M427" s="10" t="n">
        <v>680</v>
      </c>
      <c r="N427" s="10" t="n">
        <v>180</v>
      </c>
      <c r="O427" s="14" t="n">
        <f aca="false">N427/M427</f>
        <v>0.264705882352941</v>
      </c>
      <c r="P427" s="15" t="n">
        <f aca="false">YEAR(B427)</f>
        <v>2023</v>
      </c>
      <c r="Q427" s="15" t="str">
        <f aca="false">"Q"&amp;ROUNDUP(MONTH(B427)/3,0)</f>
        <v>Q3</v>
      </c>
      <c r="R427" s="15" t="str">
        <f aca="false">TEXT(B427,"MMM-YYYY")</f>
        <v>Sep-2023</v>
      </c>
    </row>
    <row r="428" customFormat="false" ht="15" hidden="false" customHeight="true" outlineLevel="0" collapsed="false">
      <c r="A428" s="3" t="s">
        <v>524</v>
      </c>
      <c r="B428" s="4" t="n">
        <v>45181</v>
      </c>
      <c r="C428" s="3" t="s">
        <v>136</v>
      </c>
      <c r="D428" s="3" t="s">
        <v>35</v>
      </c>
      <c r="E428" s="3" t="s">
        <v>23</v>
      </c>
      <c r="F428" s="3" t="s">
        <v>90</v>
      </c>
      <c r="G428" s="5" t="s">
        <v>91</v>
      </c>
      <c r="H428" s="3" t="n">
        <v>4</v>
      </c>
      <c r="I428" s="6" t="n">
        <v>748</v>
      </c>
      <c r="J428" s="6" t="n">
        <v>600</v>
      </c>
      <c r="K428" s="3" t="n">
        <v>23</v>
      </c>
      <c r="L428" s="3" t="s">
        <v>20</v>
      </c>
      <c r="M428" s="6" t="n">
        <v>2992</v>
      </c>
      <c r="N428" s="6" t="n">
        <v>592</v>
      </c>
      <c r="O428" s="12" t="n">
        <f aca="false">N428/M428</f>
        <v>0.197860962566845</v>
      </c>
      <c r="P428" s="13" t="n">
        <f aca="false">YEAR(B428)</f>
        <v>2023</v>
      </c>
      <c r="Q428" s="13" t="str">
        <f aca="false">"Q"&amp;ROUNDUP(MONTH(B428)/3,0)</f>
        <v>Q3</v>
      </c>
      <c r="R428" s="13" t="str">
        <f aca="false">TEXT(B428,"MMM-YYYY")</f>
        <v>Sep-2023</v>
      </c>
    </row>
    <row r="429" customFormat="false" ht="15" hidden="false" customHeight="true" outlineLevel="0" collapsed="false">
      <c r="A429" s="7" t="s">
        <v>525</v>
      </c>
      <c r="B429" s="8" t="n">
        <v>45182</v>
      </c>
      <c r="C429" s="7" t="s">
        <v>94</v>
      </c>
      <c r="D429" s="7" t="s">
        <v>48</v>
      </c>
      <c r="E429" s="7" t="s">
        <v>30</v>
      </c>
      <c r="F429" s="7" t="s">
        <v>126</v>
      </c>
      <c r="G429" s="9" t="s">
        <v>127</v>
      </c>
      <c r="H429" s="7" t="n">
        <v>8</v>
      </c>
      <c r="I429" s="10" t="n">
        <v>607</v>
      </c>
      <c r="J429" s="10" t="n">
        <v>400</v>
      </c>
      <c r="K429" s="7" t="n">
        <v>35</v>
      </c>
      <c r="L429" s="7" t="s">
        <v>26</v>
      </c>
      <c r="M429" s="10" t="n">
        <v>4856</v>
      </c>
      <c r="N429" s="10" t="n">
        <v>1656</v>
      </c>
      <c r="O429" s="14" t="n">
        <f aca="false">N429/M429</f>
        <v>0.341021416803954</v>
      </c>
      <c r="P429" s="15" t="n">
        <f aca="false">YEAR(B429)</f>
        <v>2023</v>
      </c>
      <c r="Q429" s="15" t="str">
        <f aca="false">"Q"&amp;ROUNDUP(MONTH(B429)/3,0)</f>
        <v>Q3</v>
      </c>
      <c r="R429" s="15" t="str">
        <f aca="false">TEXT(B429,"MMM-YYYY")</f>
        <v>Sep-2023</v>
      </c>
    </row>
    <row r="430" customFormat="false" ht="15" hidden="false" customHeight="true" outlineLevel="0" collapsed="false">
      <c r="A430" s="3" t="s">
        <v>526</v>
      </c>
      <c r="B430" s="4" t="n">
        <v>45183</v>
      </c>
      <c r="C430" s="3" t="s">
        <v>43</v>
      </c>
      <c r="D430" s="3" t="s">
        <v>16</v>
      </c>
      <c r="E430" s="3" t="s">
        <v>62</v>
      </c>
      <c r="F430" s="3" t="s">
        <v>96</v>
      </c>
      <c r="G430" s="5" t="s">
        <v>97</v>
      </c>
      <c r="H430" s="3" t="n">
        <v>5</v>
      </c>
      <c r="I430" s="6" t="n">
        <v>110</v>
      </c>
      <c r="J430" s="6" t="n">
        <v>80</v>
      </c>
      <c r="K430" s="3" t="n">
        <v>48</v>
      </c>
      <c r="L430" s="3" t="s">
        <v>26</v>
      </c>
      <c r="M430" s="6" t="n">
        <v>550</v>
      </c>
      <c r="N430" s="6" t="n">
        <v>150</v>
      </c>
      <c r="O430" s="12" t="n">
        <f aca="false">N430/M430</f>
        <v>0.272727272727273</v>
      </c>
      <c r="P430" s="13" t="n">
        <f aca="false">YEAR(B430)</f>
        <v>2023</v>
      </c>
      <c r="Q430" s="13" t="str">
        <f aca="false">"Q"&amp;ROUNDUP(MONTH(B430)/3,0)</f>
        <v>Q3</v>
      </c>
      <c r="R430" s="13" t="str">
        <f aca="false">TEXT(B430,"MMM-YYYY")</f>
        <v>Sep-2023</v>
      </c>
    </row>
    <row r="431" customFormat="false" ht="15" hidden="false" customHeight="true" outlineLevel="0" collapsed="false">
      <c r="A431" s="7" t="s">
        <v>527</v>
      </c>
      <c r="B431" s="8" t="n">
        <v>45185</v>
      </c>
      <c r="C431" s="7" t="s">
        <v>72</v>
      </c>
      <c r="D431" s="7" t="s">
        <v>35</v>
      </c>
      <c r="E431" s="7" t="s">
        <v>62</v>
      </c>
      <c r="F431" s="7" t="s">
        <v>63</v>
      </c>
      <c r="G431" s="9" t="s">
        <v>64</v>
      </c>
      <c r="H431" s="7" t="n">
        <v>5</v>
      </c>
      <c r="I431" s="10" t="n">
        <v>84</v>
      </c>
      <c r="J431" s="10" t="n">
        <v>60</v>
      </c>
      <c r="K431" s="7" t="n">
        <v>47</v>
      </c>
      <c r="L431" s="7" t="s">
        <v>26</v>
      </c>
      <c r="M431" s="10" t="n">
        <v>420</v>
      </c>
      <c r="N431" s="10" t="n">
        <v>120</v>
      </c>
      <c r="O431" s="14" t="n">
        <f aca="false">N431/M431</f>
        <v>0.285714285714286</v>
      </c>
      <c r="P431" s="15" t="n">
        <f aca="false">YEAR(B431)</f>
        <v>2023</v>
      </c>
      <c r="Q431" s="15" t="str">
        <f aca="false">"Q"&amp;ROUNDUP(MONTH(B431)/3,0)</f>
        <v>Q3</v>
      </c>
      <c r="R431" s="15" t="str">
        <f aca="false">TEXT(B431,"MMM-YYYY")</f>
        <v>Sep-2023</v>
      </c>
    </row>
    <row r="432" customFormat="false" ht="15" hidden="false" customHeight="true" outlineLevel="0" collapsed="false">
      <c r="A432" s="3" t="s">
        <v>528</v>
      </c>
      <c r="B432" s="4" t="n">
        <v>45185</v>
      </c>
      <c r="C432" s="3" t="s">
        <v>111</v>
      </c>
      <c r="D432" s="3" t="s">
        <v>29</v>
      </c>
      <c r="E432" s="3" t="s">
        <v>77</v>
      </c>
      <c r="F432" s="3" t="s">
        <v>129</v>
      </c>
      <c r="G432" s="5" t="s">
        <v>130</v>
      </c>
      <c r="H432" s="3" t="n">
        <v>6</v>
      </c>
      <c r="I432" s="6" t="n">
        <v>167</v>
      </c>
      <c r="J432" s="6" t="n">
        <v>120</v>
      </c>
      <c r="K432" s="3" t="n">
        <v>30</v>
      </c>
      <c r="L432" s="3" t="s">
        <v>20</v>
      </c>
      <c r="M432" s="6" t="n">
        <v>1002</v>
      </c>
      <c r="N432" s="6" t="n">
        <v>282</v>
      </c>
      <c r="O432" s="12" t="n">
        <f aca="false">N432/M432</f>
        <v>0.281437125748503</v>
      </c>
      <c r="P432" s="13" t="n">
        <f aca="false">YEAR(B432)</f>
        <v>2023</v>
      </c>
      <c r="Q432" s="13" t="str">
        <f aca="false">"Q"&amp;ROUNDUP(MONTH(B432)/3,0)</f>
        <v>Q3</v>
      </c>
      <c r="R432" s="13" t="str">
        <f aca="false">TEXT(B432,"MMM-YYYY")</f>
        <v>Sep-2023</v>
      </c>
    </row>
    <row r="433" customFormat="false" ht="15" hidden="false" customHeight="true" outlineLevel="0" collapsed="false">
      <c r="A433" s="7" t="s">
        <v>529</v>
      </c>
      <c r="B433" s="8" t="n">
        <v>45190</v>
      </c>
      <c r="C433" s="7" t="s">
        <v>22</v>
      </c>
      <c r="D433" s="7" t="s">
        <v>16</v>
      </c>
      <c r="E433" s="7" t="s">
        <v>23</v>
      </c>
      <c r="F433" s="7" t="s">
        <v>204</v>
      </c>
      <c r="G433" s="9" t="s">
        <v>205</v>
      </c>
      <c r="H433" s="7" t="n">
        <v>1</v>
      </c>
      <c r="I433" s="10" t="n">
        <v>2218</v>
      </c>
      <c r="J433" s="10" t="n">
        <v>1800</v>
      </c>
      <c r="K433" s="7" t="n">
        <v>0</v>
      </c>
      <c r="L433" s="7" t="s">
        <v>26</v>
      </c>
      <c r="M433" s="10" t="n">
        <v>2218</v>
      </c>
      <c r="N433" s="10" t="n">
        <v>418</v>
      </c>
      <c r="O433" s="14" t="n">
        <f aca="false">N433/M433</f>
        <v>0.188458070333634</v>
      </c>
      <c r="P433" s="15" t="n">
        <f aca="false">YEAR(B433)</f>
        <v>2023</v>
      </c>
      <c r="Q433" s="15" t="str">
        <f aca="false">"Q"&amp;ROUNDUP(MONTH(B433)/3,0)</f>
        <v>Q3</v>
      </c>
      <c r="R433" s="15" t="str">
        <f aca="false">TEXT(B433,"MMM-YYYY")</f>
        <v>Sep-2023</v>
      </c>
    </row>
    <row r="434" customFormat="false" ht="15" hidden="false" customHeight="true" outlineLevel="0" collapsed="false">
      <c r="A434" s="3" t="s">
        <v>530</v>
      </c>
      <c r="B434" s="4" t="n">
        <v>45190</v>
      </c>
      <c r="C434" s="3" t="s">
        <v>43</v>
      </c>
      <c r="D434" s="3" t="s">
        <v>16</v>
      </c>
      <c r="E434" s="3" t="s">
        <v>77</v>
      </c>
      <c r="F434" s="3" t="s">
        <v>81</v>
      </c>
      <c r="G434" s="5" t="s">
        <v>82</v>
      </c>
      <c r="H434" s="3" t="n">
        <v>15</v>
      </c>
      <c r="I434" s="6" t="n">
        <v>832</v>
      </c>
      <c r="J434" s="6" t="n">
        <v>600</v>
      </c>
      <c r="K434" s="3" t="n">
        <v>27</v>
      </c>
      <c r="L434" s="3" t="s">
        <v>26</v>
      </c>
      <c r="M434" s="6" t="n">
        <v>12480</v>
      </c>
      <c r="N434" s="6" t="n">
        <v>3480</v>
      </c>
      <c r="O434" s="12" t="n">
        <f aca="false">N434/M434</f>
        <v>0.278846153846154</v>
      </c>
      <c r="P434" s="13" t="n">
        <f aca="false">YEAR(B434)</f>
        <v>2023</v>
      </c>
      <c r="Q434" s="13" t="str">
        <f aca="false">"Q"&amp;ROUNDUP(MONTH(B434)/3,0)</f>
        <v>Q3</v>
      </c>
      <c r="R434" s="13" t="str">
        <f aca="false">TEXT(B434,"MMM-YYYY")</f>
        <v>Sep-2023</v>
      </c>
    </row>
    <row r="435" customFormat="false" ht="15" hidden="false" customHeight="true" outlineLevel="0" collapsed="false">
      <c r="A435" s="7" t="s">
        <v>531</v>
      </c>
      <c r="B435" s="8" t="n">
        <v>45191</v>
      </c>
      <c r="C435" s="7" t="s">
        <v>22</v>
      </c>
      <c r="D435" s="7" t="s">
        <v>16</v>
      </c>
      <c r="E435" s="7" t="s">
        <v>39</v>
      </c>
      <c r="F435" s="7" t="s">
        <v>40</v>
      </c>
      <c r="G435" s="9" t="s">
        <v>41</v>
      </c>
      <c r="H435" s="7" t="n">
        <v>9</v>
      </c>
      <c r="I435" s="10" t="n">
        <v>108</v>
      </c>
      <c r="J435" s="10" t="n">
        <v>90</v>
      </c>
      <c r="K435" s="7" t="n">
        <v>14</v>
      </c>
      <c r="L435" s="7" t="s">
        <v>20</v>
      </c>
      <c r="M435" s="10" t="n">
        <v>972</v>
      </c>
      <c r="N435" s="10" t="n">
        <v>162</v>
      </c>
      <c r="O435" s="14" t="n">
        <f aca="false">N435/M435</f>
        <v>0.166666666666667</v>
      </c>
      <c r="P435" s="15" t="n">
        <f aca="false">YEAR(B435)</f>
        <v>2023</v>
      </c>
      <c r="Q435" s="15" t="str">
        <f aca="false">"Q"&amp;ROUNDUP(MONTH(B435)/3,0)</f>
        <v>Q3</v>
      </c>
      <c r="R435" s="15" t="str">
        <f aca="false">TEXT(B435,"MMM-YYYY")</f>
        <v>Sep-2023</v>
      </c>
    </row>
    <row r="436" customFormat="false" ht="15" hidden="false" customHeight="true" outlineLevel="0" collapsed="false">
      <c r="A436" s="3" t="s">
        <v>532</v>
      </c>
      <c r="B436" s="4" t="n">
        <v>45193</v>
      </c>
      <c r="C436" s="3" t="s">
        <v>43</v>
      </c>
      <c r="D436" s="3" t="s">
        <v>16</v>
      </c>
      <c r="E436" s="3" t="s">
        <v>62</v>
      </c>
      <c r="F436" s="3" t="s">
        <v>103</v>
      </c>
      <c r="G436" s="5" t="s">
        <v>104</v>
      </c>
      <c r="H436" s="3" t="n">
        <v>15</v>
      </c>
      <c r="I436" s="6" t="n">
        <v>117</v>
      </c>
      <c r="J436" s="6" t="n">
        <v>90</v>
      </c>
      <c r="K436" s="3" t="n">
        <v>5</v>
      </c>
      <c r="L436" s="3" t="s">
        <v>20</v>
      </c>
      <c r="M436" s="6" t="n">
        <v>1755</v>
      </c>
      <c r="N436" s="6" t="n">
        <v>405</v>
      </c>
      <c r="O436" s="12" t="n">
        <f aca="false">N436/M436</f>
        <v>0.230769230769231</v>
      </c>
      <c r="P436" s="13" t="n">
        <f aca="false">YEAR(B436)</f>
        <v>2023</v>
      </c>
      <c r="Q436" s="13" t="str">
        <f aca="false">"Q"&amp;ROUNDUP(MONTH(B436)/3,0)</f>
        <v>Q3</v>
      </c>
      <c r="R436" s="13" t="str">
        <f aca="false">TEXT(B436,"MMM-YYYY")</f>
        <v>Sep-2023</v>
      </c>
    </row>
    <row r="437" customFormat="false" ht="15" hidden="false" customHeight="true" outlineLevel="0" collapsed="false">
      <c r="A437" s="7" t="s">
        <v>533</v>
      </c>
      <c r="B437" s="8" t="n">
        <v>45193</v>
      </c>
      <c r="C437" s="7" t="s">
        <v>136</v>
      </c>
      <c r="D437" s="7" t="s">
        <v>35</v>
      </c>
      <c r="E437" s="7" t="s">
        <v>30</v>
      </c>
      <c r="F437" s="7" t="s">
        <v>126</v>
      </c>
      <c r="G437" s="9" t="s">
        <v>127</v>
      </c>
      <c r="H437" s="7" t="n">
        <v>8</v>
      </c>
      <c r="I437" s="10" t="n">
        <v>567</v>
      </c>
      <c r="J437" s="10" t="n">
        <v>400</v>
      </c>
      <c r="K437" s="7" t="n">
        <v>8</v>
      </c>
      <c r="L437" s="7" t="s">
        <v>26</v>
      </c>
      <c r="M437" s="10" t="n">
        <v>4536</v>
      </c>
      <c r="N437" s="10" t="n">
        <v>1336</v>
      </c>
      <c r="O437" s="14" t="n">
        <f aca="false">N437/M437</f>
        <v>0.294532627865961</v>
      </c>
      <c r="P437" s="15" t="n">
        <f aca="false">YEAR(B437)</f>
        <v>2023</v>
      </c>
      <c r="Q437" s="15" t="str">
        <f aca="false">"Q"&amp;ROUNDUP(MONTH(B437)/3,0)</f>
        <v>Q3</v>
      </c>
      <c r="R437" s="15" t="str">
        <f aca="false">TEXT(B437,"MMM-YYYY")</f>
        <v>Sep-2023</v>
      </c>
    </row>
    <row r="438" customFormat="false" ht="15" hidden="false" customHeight="true" outlineLevel="0" collapsed="false">
      <c r="A438" s="3" t="s">
        <v>534</v>
      </c>
      <c r="B438" s="4" t="n">
        <v>45194</v>
      </c>
      <c r="C438" s="3" t="s">
        <v>58</v>
      </c>
      <c r="D438" s="3" t="s">
        <v>48</v>
      </c>
      <c r="E438" s="3" t="s">
        <v>77</v>
      </c>
      <c r="F438" s="3" t="s">
        <v>78</v>
      </c>
      <c r="G438" s="5" t="s">
        <v>79</v>
      </c>
      <c r="H438" s="3" t="n">
        <v>7</v>
      </c>
      <c r="I438" s="6" t="n">
        <v>1216</v>
      </c>
      <c r="J438" s="6" t="n">
        <v>900</v>
      </c>
      <c r="K438" s="3" t="n">
        <v>1</v>
      </c>
      <c r="L438" s="3" t="s">
        <v>26</v>
      </c>
      <c r="M438" s="6" t="n">
        <v>8512</v>
      </c>
      <c r="N438" s="6" t="n">
        <v>2212</v>
      </c>
      <c r="O438" s="12" t="n">
        <f aca="false">N438/M438</f>
        <v>0.259868421052632</v>
      </c>
      <c r="P438" s="13" t="n">
        <f aca="false">YEAR(B438)</f>
        <v>2023</v>
      </c>
      <c r="Q438" s="13" t="str">
        <f aca="false">"Q"&amp;ROUNDUP(MONTH(B438)/3,0)</f>
        <v>Q3</v>
      </c>
      <c r="R438" s="13" t="str">
        <f aca="false">TEXT(B438,"MMM-YYYY")</f>
        <v>Sep-2023</v>
      </c>
    </row>
    <row r="439" customFormat="false" ht="15" hidden="false" customHeight="true" outlineLevel="0" collapsed="false">
      <c r="A439" s="7" t="s">
        <v>535</v>
      </c>
      <c r="B439" s="8" t="n">
        <v>45194</v>
      </c>
      <c r="C439" s="7" t="s">
        <v>72</v>
      </c>
      <c r="D439" s="7" t="s">
        <v>35</v>
      </c>
      <c r="E439" s="7" t="s">
        <v>23</v>
      </c>
      <c r="F439" s="7" t="s">
        <v>90</v>
      </c>
      <c r="G439" s="9" t="s">
        <v>91</v>
      </c>
      <c r="H439" s="7" t="n">
        <v>14</v>
      </c>
      <c r="I439" s="10" t="n">
        <v>752</v>
      </c>
      <c r="J439" s="10" t="n">
        <v>600</v>
      </c>
      <c r="K439" s="7" t="n">
        <v>8</v>
      </c>
      <c r="L439" s="7" t="s">
        <v>26</v>
      </c>
      <c r="M439" s="10" t="n">
        <v>10528</v>
      </c>
      <c r="N439" s="10" t="n">
        <v>2128</v>
      </c>
      <c r="O439" s="14" t="n">
        <f aca="false">N439/M439</f>
        <v>0.202127659574468</v>
      </c>
      <c r="P439" s="15" t="n">
        <f aca="false">YEAR(B439)</f>
        <v>2023</v>
      </c>
      <c r="Q439" s="15" t="str">
        <f aca="false">"Q"&amp;ROUNDUP(MONTH(B439)/3,0)</f>
        <v>Q3</v>
      </c>
      <c r="R439" s="15" t="str">
        <f aca="false">TEXT(B439,"MMM-YYYY")</f>
        <v>Sep-2023</v>
      </c>
    </row>
    <row r="440" customFormat="false" ht="15" hidden="false" customHeight="true" outlineLevel="0" collapsed="false">
      <c r="A440" s="3" t="s">
        <v>536</v>
      </c>
      <c r="B440" s="4" t="n">
        <v>45194</v>
      </c>
      <c r="C440" s="3" t="s">
        <v>28</v>
      </c>
      <c r="D440" s="3" t="s">
        <v>29</v>
      </c>
      <c r="E440" s="3" t="s">
        <v>39</v>
      </c>
      <c r="F440" s="3" t="s">
        <v>99</v>
      </c>
      <c r="G440" s="5" t="s">
        <v>100</v>
      </c>
      <c r="H440" s="3" t="n">
        <v>3</v>
      </c>
      <c r="I440" s="6" t="n">
        <v>262</v>
      </c>
      <c r="J440" s="6" t="n">
        <v>220</v>
      </c>
      <c r="K440" s="3" t="n">
        <v>12</v>
      </c>
      <c r="L440" s="3" t="s">
        <v>26</v>
      </c>
      <c r="M440" s="6" t="n">
        <v>786</v>
      </c>
      <c r="N440" s="6" t="n">
        <v>126</v>
      </c>
      <c r="O440" s="12" t="n">
        <f aca="false">N440/M440</f>
        <v>0.16030534351145</v>
      </c>
      <c r="P440" s="13" t="n">
        <f aca="false">YEAR(B440)</f>
        <v>2023</v>
      </c>
      <c r="Q440" s="13" t="str">
        <f aca="false">"Q"&amp;ROUNDUP(MONTH(B440)/3,0)</f>
        <v>Q3</v>
      </c>
      <c r="R440" s="13" t="str">
        <f aca="false">TEXT(B440,"MMM-YYYY")</f>
        <v>Sep-2023</v>
      </c>
    </row>
    <row r="441" customFormat="false" ht="15" hidden="false" customHeight="true" outlineLevel="0" collapsed="false">
      <c r="A441" s="7" t="s">
        <v>537</v>
      </c>
      <c r="B441" s="8" t="n">
        <v>45195</v>
      </c>
      <c r="C441" s="7" t="s">
        <v>94</v>
      </c>
      <c r="D441" s="7" t="s">
        <v>48</v>
      </c>
      <c r="E441" s="7" t="s">
        <v>39</v>
      </c>
      <c r="F441" s="7" t="s">
        <v>143</v>
      </c>
      <c r="G441" s="9" t="s">
        <v>144</v>
      </c>
      <c r="H441" s="7" t="n">
        <v>2</v>
      </c>
      <c r="I441" s="10" t="n">
        <v>347</v>
      </c>
      <c r="J441" s="10" t="n">
        <v>280</v>
      </c>
      <c r="K441" s="7" t="n">
        <v>32</v>
      </c>
      <c r="L441" s="7" t="s">
        <v>26</v>
      </c>
      <c r="M441" s="10" t="n">
        <v>694</v>
      </c>
      <c r="N441" s="10" t="n">
        <v>134</v>
      </c>
      <c r="O441" s="14" t="n">
        <f aca="false">N441/M441</f>
        <v>0.193083573487032</v>
      </c>
      <c r="P441" s="15" t="n">
        <f aca="false">YEAR(B441)</f>
        <v>2023</v>
      </c>
      <c r="Q441" s="15" t="str">
        <f aca="false">"Q"&amp;ROUNDUP(MONTH(B441)/3,0)</f>
        <v>Q3</v>
      </c>
      <c r="R441" s="15" t="str">
        <f aca="false">TEXT(B441,"MMM-YYYY")</f>
        <v>Sep-2023</v>
      </c>
    </row>
    <row r="442" customFormat="false" ht="15" hidden="false" customHeight="true" outlineLevel="0" collapsed="false">
      <c r="A442" s="3" t="s">
        <v>538</v>
      </c>
      <c r="B442" s="4" t="n">
        <v>45196</v>
      </c>
      <c r="C442" s="3" t="s">
        <v>52</v>
      </c>
      <c r="D442" s="3" t="s">
        <v>29</v>
      </c>
      <c r="E442" s="3" t="s">
        <v>39</v>
      </c>
      <c r="F442" s="3" t="s">
        <v>161</v>
      </c>
      <c r="G442" s="5" t="s">
        <v>162</v>
      </c>
      <c r="H442" s="3" t="n">
        <v>14</v>
      </c>
      <c r="I442" s="6" t="n">
        <v>426</v>
      </c>
      <c r="J442" s="6" t="n">
        <v>350</v>
      </c>
      <c r="K442" s="3" t="n">
        <v>35</v>
      </c>
      <c r="L442" s="3" t="s">
        <v>20</v>
      </c>
      <c r="M442" s="6" t="n">
        <v>5964</v>
      </c>
      <c r="N442" s="6" t="n">
        <v>1064</v>
      </c>
      <c r="O442" s="12" t="n">
        <f aca="false">N442/M442</f>
        <v>0.178403755868545</v>
      </c>
      <c r="P442" s="13" t="n">
        <f aca="false">YEAR(B442)</f>
        <v>2023</v>
      </c>
      <c r="Q442" s="13" t="str">
        <f aca="false">"Q"&amp;ROUNDUP(MONTH(B442)/3,0)</f>
        <v>Q3</v>
      </c>
      <c r="R442" s="13" t="str">
        <f aca="false">TEXT(B442,"MMM-YYYY")</f>
        <v>Sep-2023</v>
      </c>
    </row>
    <row r="443" customFormat="false" ht="15" hidden="false" customHeight="true" outlineLevel="0" collapsed="false">
      <c r="A443" s="7" t="s">
        <v>539</v>
      </c>
      <c r="B443" s="8" t="n">
        <v>45197</v>
      </c>
      <c r="C443" s="7" t="s">
        <v>28</v>
      </c>
      <c r="D443" s="7" t="s">
        <v>29</v>
      </c>
      <c r="E443" s="7" t="s">
        <v>17</v>
      </c>
      <c r="F443" s="7" t="s">
        <v>54</v>
      </c>
      <c r="G443" s="9" t="s">
        <v>55</v>
      </c>
      <c r="H443" s="7" t="n">
        <v>5</v>
      </c>
      <c r="I443" s="10" t="n">
        <v>656</v>
      </c>
      <c r="J443" s="10" t="n">
        <v>450</v>
      </c>
      <c r="K443" s="7" t="n">
        <v>33</v>
      </c>
      <c r="L443" s="7" t="s">
        <v>26</v>
      </c>
      <c r="M443" s="10" t="n">
        <v>3280</v>
      </c>
      <c r="N443" s="10" t="n">
        <v>1030</v>
      </c>
      <c r="O443" s="14" t="n">
        <f aca="false">N443/M443</f>
        <v>0.314024390243902</v>
      </c>
      <c r="P443" s="15" t="n">
        <f aca="false">YEAR(B443)</f>
        <v>2023</v>
      </c>
      <c r="Q443" s="15" t="str">
        <f aca="false">"Q"&amp;ROUNDUP(MONTH(B443)/3,0)</f>
        <v>Q3</v>
      </c>
      <c r="R443" s="15" t="str">
        <f aca="false">TEXT(B443,"MMM-YYYY")</f>
        <v>Sep-2023</v>
      </c>
    </row>
    <row r="444" customFormat="false" ht="15" hidden="false" customHeight="true" outlineLevel="0" collapsed="false">
      <c r="A444" s="3" t="s">
        <v>540</v>
      </c>
      <c r="B444" s="4" t="n">
        <v>45201</v>
      </c>
      <c r="C444" s="3" t="s">
        <v>52</v>
      </c>
      <c r="D444" s="3" t="s">
        <v>29</v>
      </c>
      <c r="E444" s="3" t="s">
        <v>62</v>
      </c>
      <c r="F444" s="3" t="s">
        <v>103</v>
      </c>
      <c r="G444" s="5" t="s">
        <v>104</v>
      </c>
      <c r="H444" s="3" t="n">
        <v>15</v>
      </c>
      <c r="I444" s="6" t="n">
        <v>121</v>
      </c>
      <c r="J444" s="6" t="n">
        <v>90</v>
      </c>
      <c r="K444" s="3" t="n">
        <v>47</v>
      </c>
      <c r="L444" s="3" t="s">
        <v>26</v>
      </c>
      <c r="M444" s="6" t="n">
        <v>1815</v>
      </c>
      <c r="N444" s="6" t="n">
        <v>465</v>
      </c>
      <c r="O444" s="12" t="n">
        <f aca="false">N444/M444</f>
        <v>0.256198347107438</v>
      </c>
      <c r="P444" s="13" t="n">
        <f aca="false">YEAR(B444)</f>
        <v>2023</v>
      </c>
      <c r="Q444" s="13" t="str">
        <f aca="false">"Q"&amp;ROUNDUP(MONTH(B444)/3,0)</f>
        <v>Q4</v>
      </c>
      <c r="R444" s="13" t="str">
        <f aca="false">TEXT(B444,"MMM-YYYY")</f>
        <v>Oct-2023</v>
      </c>
    </row>
    <row r="445" customFormat="false" ht="15" hidden="false" customHeight="true" outlineLevel="0" collapsed="false">
      <c r="A445" s="7" t="s">
        <v>541</v>
      </c>
      <c r="B445" s="8" t="n">
        <v>45202</v>
      </c>
      <c r="C445" s="7" t="s">
        <v>28</v>
      </c>
      <c r="D445" s="7" t="s">
        <v>29</v>
      </c>
      <c r="E445" s="7" t="s">
        <v>17</v>
      </c>
      <c r="F445" s="7" t="s">
        <v>54</v>
      </c>
      <c r="G445" s="9" t="s">
        <v>55</v>
      </c>
      <c r="H445" s="7" t="n">
        <v>9</v>
      </c>
      <c r="I445" s="10" t="n">
        <v>602</v>
      </c>
      <c r="J445" s="10" t="n">
        <v>450</v>
      </c>
      <c r="K445" s="7" t="n">
        <v>45</v>
      </c>
      <c r="L445" s="7" t="s">
        <v>26</v>
      </c>
      <c r="M445" s="10" t="n">
        <v>5418</v>
      </c>
      <c r="N445" s="10" t="n">
        <v>1368</v>
      </c>
      <c r="O445" s="14" t="n">
        <f aca="false">N445/M445</f>
        <v>0.252491694352159</v>
      </c>
      <c r="P445" s="15" t="n">
        <f aca="false">YEAR(B445)</f>
        <v>2023</v>
      </c>
      <c r="Q445" s="15" t="str">
        <f aca="false">"Q"&amp;ROUNDUP(MONTH(B445)/3,0)</f>
        <v>Q4</v>
      </c>
      <c r="R445" s="15" t="str">
        <f aca="false">TEXT(B445,"MMM-YYYY")</f>
        <v>Oct-2023</v>
      </c>
    </row>
    <row r="446" customFormat="false" ht="15" hidden="false" customHeight="true" outlineLevel="0" collapsed="false">
      <c r="A446" s="3" t="s">
        <v>542</v>
      </c>
      <c r="B446" s="4" t="n">
        <v>45204</v>
      </c>
      <c r="C446" s="3" t="s">
        <v>47</v>
      </c>
      <c r="D446" s="3" t="s">
        <v>48</v>
      </c>
      <c r="E446" s="3" t="s">
        <v>17</v>
      </c>
      <c r="F446" s="3" t="s">
        <v>54</v>
      </c>
      <c r="G446" s="5" t="s">
        <v>55</v>
      </c>
      <c r="H446" s="3" t="n">
        <v>4</v>
      </c>
      <c r="I446" s="6" t="n">
        <v>658</v>
      </c>
      <c r="J446" s="6" t="n">
        <v>450</v>
      </c>
      <c r="K446" s="3" t="n">
        <v>43</v>
      </c>
      <c r="L446" s="3" t="s">
        <v>26</v>
      </c>
      <c r="M446" s="6" t="n">
        <v>2632</v>
      </c>
      <c r="N446" s="6" t="n">
        <v>832</v>
      </c>
      <c r="O446" s="12" t="n">
        <f aca="false">N446/M446</f>
        <v>0.316109422492401</v>
      </c>
      <c r="P446" s="13" t="n">
        <f aca="false">YEAR(B446)</f>
        <v>2023</v>
      </c>
      <c r="Q446" s="13" t="str">
        <f aca="false">"Q"&amp;ROUNDUP(MONTH(B446)/3,0)</f>
        <v>Q4</v>
      </c>
      <c r="R446" s="13" t="str">
        <f aca="false">TEXT(B446,"MMM-YYYY")</f>
        <v>Oct-2023</v>
      </c>
    </row>
    <row r="447" customFormat="false" ht="15" hidden="false" customHeight="true" outlineLevel="0" collapsed="false">
      <c r="A447" s="7" t="s">
        <v>543</v>
      </c>
      <c r="B447" s="8" t="n">
        <v>45204</v>
      </c>
      <c r="C447" s="7" t="s">
        <v>47</v>
      </c>
      <c r="D447" s="7" t="s">
        <v>48</v>
      </c>
      <c r="E447" s="7" t="s">
        <v>30</v>
      </c>
      <c r="F447" s="7" t="s">
        <v>31</v>
      </c>
      <c r="G447" s="9" t="s">
        <v>32</v>
      </c>
      <c r="H447" s="7" t="n">
        <v>13</v>
      </c>
      <c r="I447" s="10" t="n">
        <v>1697</v>
      </c>
      <c r="J447" s="10" t="n">
        <v>1200</v>
      </c>
      <c r="K447" s="7" t="n">
        <v>2</v>
      </c>
      <c r="L447" s="7" t="s">
        <v>20</v>
      </c>
      <c r="M447" s="10" t="n">
        <v>22061</v>
      </c>
      <c r="N447" s="10" t="n">
        <v>6461</v>
      </c>
      <c r="O447" s="14" t="n">
        <f aca="false">N447/M447</f>
        <v>0.292869770182675</v>
      </c>
      <c r="P447" s="15" t="n">
        <f aca="false">YEAR(B447)</f>
        <v>2023</v>
      </c>
      <c r="Q447" s="15" t="str">
        <f aca="false">"Q"&amp;ROUNDUP(MONTH(B447)/3,0)</f>
        <v>Q4</v>
      </c>
      <c r="R447" s="15" t="str">
        <f aca="false">TEXT(B447,"MMM-YYYY")</f>
        <v>Oct-2023</v>
      </c>
    </row>
    <row r="448" customFormat="false" ht="15" hidden="false" customHeight="true" outlineLevel="0" collapsed="false">
      <c r="A448" s="3" t="s">
        <v>544</v>
      </c>
      <c r="B448" s="4" t="n">
        <v>45204</v>
      </c>
      <c r="C448" s="3" t="s">
        <v>34</v>
      </c>
      <c r="D448" s="3" t="s">
        <v>35</v>
      </c>
      <c r="E448" s="3" t="s">
        <v>30</v>
      </c>
      <c r="F448" s="3" t="s">
        <v>36</v>
      </c>
      <c r="G448" s="5" t="s">
        <v>37</v>
      </c>
      <c r="H448" s="3" t="n">
        <v>11</v>
      </c>
      <c r="I448" s="6" t="n">
        <v>648</v>
      </c>
      <c r="J448" s="6" t="n">
        <v>450</v>
      </c>
      <c r="K448" s="3" t="n">
        <v>18</v>
      </c>
      <c r="L448" s="3" t="s">
        <v>26</v>
      </c>
      <c r="M448" s="6" t="n">
        <v>7128</v>
      </c>
      <c r="N448" s="6" t="n">
        <v>2178</v>
      </c>
      <c r="O448" s="12" t="n">
        <f aca="false">N448/M448</f>
        <v>0.305555555555556</v>
      </c>
      <c r="P448" s="13" t="n">
        <f aca="false">YEAR(B448)</f>
        <v>2023</v>
      </c>
      <c r="Q448" s="13" t="str">
        <f aca="false">"Q"&amp;ROUNDUP(MONTH(B448)/3,0)</f>
        <v>Q4</v>
      </c>
      <c r="R448" s="13" t="str">
        <f aca="false">TEXT(B448,"MMM-YYYY")</f>
        <v>Oct-2023</v>
      </c>
    </row>
    <row r="449" customFormat="false" ht="15" hidden="false" customHeight="true" outlineLevel="0" collapsed="false">
      <c r="A449" s="7" t="s">
        <v>545</v>
      </c>
      <c r="B449" s="8" t="n">
        <v>45205</v>
      </c>
      <c r="C449" s="7" t="s">
        <v>43</v>
      </c>
      <c r="D449" s="7" t="s">
        <v>16</v>
      </c>
      <c r="E449" s="7" t="s">
        <v>62</v>
      </c>
      <c r="F449" s="7" t="s">
        <v>69</v>
      </c>
      <c r="G449" s="9" t="s">
        <v>70</v>
      </c>
      <c r="H449" s="7" t="n">
        <v>11</v>
      </c>
      <c r="I449" s="10" t="n">
        <v>69</v>
      </c>
      <c r="J449" s="10" t="n">
        <v>50</v>
      </c>
      <c r="K449" s="7" t="n">
        <v>17</v>
      </c>
      <c r="L449" s="7" t="s">
        <v>26</v>
      </c>
      <c r="M449" s="10" t="n">
        <v>759</v>
      </c>
      <c r="N449" s="10" t="n">
        <v>209</v>
      </c>
      <c r="O449" s="14" t="n">
        <f aca="false">N449/M449</f>
        <v>0.27536231884058</v>
      </c>
      <c r="P449" s="15" t="n">
        <f aca="false">YEAR(B449)</f>
        <v>2023</v>
      </c>
      <c r="Q449" s="15" t="str">
        <f aca="false">"Q"&amp;ROUNDUP(MONTH(B449)/3,0)</f>
        <v>Q4</v>
      </c>
      <c r="R449" s="15" t="str">
        <f aca="false">TEXT(B449,"MMM-YYYY")</f>
        <v>Oct-2023</v>
      </c>
    </row>
    <row r="450" customFormat="false" ht="15" hidden="false" customHeight="true" outlineLevel="0" collapsed="false">
      <c r="A450" s="3" t="s">
        <v>546</v>
      </c>
      <c r="B450" s="4" t="n">
        <v>45206</v>
      </c>
      <c r="C450" s="3" t="s">
        <v>15</v>
      </c>
      <c r="D450" s="3" t="s">
        <v>16</v>
      </c>
      <c r="E450" s="3" t="s">
        <v>23</v>
      </c>
      <c r="F450" s="3" t="s">
        <v>204</v>
      </c>
      <c r="G450" s="5" t="s">
        <v>205</v>
      </c>
      <c r="H450" s="3" t="n">
        <v>10</v>
      </c>
      <c r="I450" s="6" t="n">
        <v>2302</v>
      </c>
      <c r="J450" s="6" t="n">
        <v>1800</v>
      </c>
      <c r="K450" s="3" t="n">
        <v>35</v>
      </c>
      <c r="L450" s="3" t="s">
        <v>20</v>
      </c>
      <c r="M450" s="6" t="n">
        <v>23020</v>
      </c>
      <c r="N450" s="6" t="n">
        <v>5020</v>
      </c>
      <c r="O450" s="12" t="n">
        <f aca="false">N450/M450</f>
        <v>0.218071242397915</v>
      </c>
      <c r="P450" s="13" t="n">
        <f aca="false">YEAR(B450)</f>
        <v>2023</v>
      </c>
      <c r="Q450" s="13" t="str">
        <f aca="false">"Q"&amp;ROUNDUP(MONTH(B450)/3,0)</f>
        <v>Q4</v>
      </c>
      <c r="R450" s="13" t="str">
        <f aca="false">TEXT(B450,"MMM-YYYY")</f>
        <v>Oct-2023</v>
      </c>
    </row>
    <row r="451" customFormat="false" ht="15" hidden="false" customHeight="true" outlineLevel="0" collapsed="false">
      <c r="A451" s="7" t="s">
        <v>547</v>
      </c>
      <c r="B451" s="8" t="n">
        <v>45207</v>
      </c>
      <c r="C451" s="7" t="s">
        <v>15</v>
      </c>
      <c r="D451" s="7" t="s">
        <v>16</v>
      </c>
      <c r="E451" s="7" t="s">
        <v>62</v>
      </c>
      <c r="F451" s="7" t="s">
        <v>96</v>
      </c>
      <c r="G451" s="9" t="s">
        <v>97</v>
      </c>
      <c r="H451" s="7" t="n">
        <v>2</v>
      </c>
      <c r="I451" s="10" t="n">
        <v>112</v>
      </c>
      <c r="J451" s="10" t="n">
        <v>80</v>
      </c>
      <c r="K451" s="7" t="n">
        <v>6</v>
      </c>
      <c r="L451" s="7" t="s">
        <v>26</v>
      </c>
      <c r="M451" s="10" t="n">
        <v>224</v>
      </c>
      <c r="N451" s="10" t="n">
        <v>64</v>
      </c>
      <c r="O451" s="14" t="n">
        <f aca="false">N451/M451</f>
        <v>0.285714285714286</v>
      </c>
      <c r="P451" s="15" t="n">
        <f aca="false">YEAR(B451)</f>
        <v>2023</v>
      </c>
      <c r="Q451" s="15" t="str">
        <f aca="false">"Q"&amp;ROUNDUP(MONTH(B451)/3,0)</f>
        <v>Q4</v>
      </c>
      <c r="R451" s="15" t="str">
        <f aca="false">TEXT(B451,"MMM-YYYY")</f>
        <v>Oct-2023</v>
      </c>
    </row>
    <row r="452" customFormat="false" ht="15" hidden="false" customHeight="true" outlineLevel="0" collapsed="false">
      <c r="A452" s="3" t="s">
        <v>548</v>
      </c>
      <c r="B452" s="4" t="n">
        <v>45209</v>
      </c>
      <c r="C452" s="3" t="s">
        <v>111</v>
      </c>
      <c r="D452" s="3" t="s">
        <v>29</v>
      </c>
      <c r="E452" s="3" t="s">
        <v>77</v>
      </c>
      <c r="F452" s="3" t="s">
        <v>129</v>
      </c>
      <c r="G452" s="5" t="s">
        <v>130</v>
      </c>
      <c r="H452" s="3" t="n">
        <v>2</v>
      </c>
      <c r="I452" s="6" t="n">
        <v>165</v>
      </c>
      <c r="J452" s="6" t="n">
        <v>120</v>
      </c>
      <c r="K452" s="3" t="n">
        <v>44</v>
      </c>
      <c r="L452" s="3" t="s">
        <v>20</v>
      </c>
      <c r="M452" s="6" t="n">
        <v>330</v>
      </c>
      <c r="N452" s="6" t="n">
        <v>90</v>
      </c>
      <c r="O452" s="12" t="n">
        <f aca="false">N452/M452</f>
        <v>0.272727272727273</v>
      </c>
      <c r="P452" s="13" t="n">
        <f aca="false">YEAR(B452)</f>
        <v>2023</v>
      </c>
      <c r="Q452" s="13" t="str">
        <f aca="false">"Q"&amp;ROUNDUP(MONTH(B452)/3,0)</f>
        <v>Q4</v>
      </c>
      <c r="R452" s="13" t="str">
        <f aca="false">TEXT(B452,"MMM-YYYY")</f>
        <v>Oct-2023</v>
      </c>
    </row>
    <row r="453" customFormat="false" ht="15" hidden="false" customHeight="true" outlineLevel="0" collapsed="false">
      <c r="A453" s="7" t="s">
        <v>549</v>
      </c>
      <c r="B453" s="8" t="n">
        <v>45210</v>
      </c>
      <c r="C453" s="7" t="s">
        <v>34</v>
      </c>
      <c r="D453" s="7" t="s">
        <v>35</v>
      </c>
      <c r="E453" s="7" t="s">
        <v>17</v>
      </c>
      <c r="F453" s="7" t="s">
        <v>66</v>
      </c>
      <c r="G453" s="9" t="s">
        <v>67</v>
      </c>
      <c r="H453" s="7" t="n">
        <v>7</v>
      </c>
      <c r="I453" s="10" t="n">
        <v>474</v>
      </c>
      <c r="J453" s="10" t="n">
        <v>350</v>
      </c>
      <c r="K453" s="7" t="n">
        <v>24</v>
      </c>
      <c r="L453" s="7" t="s">
        <v>26</v>
      </c>
      <c r="M453" s="10" t="n">
        <v>3318</v>
      </c>
      <c r="N453" s="10" t="n">
        <v>868</v>
      </c>
      <c r="O453" s="14" t="n">
        <f aca="false">N453/M453</f>
        <v>0.261603375527426</v>
      </c>
      <c r="P453" s="15" t="n">
        <f aca="false">YEAR(B453)</f>
        <v>2023</v>
      </c>
      <c r="Q453" s="15" t="str">
        <f aca="false">"Q"&amp;ROUNDUP(MONTH(B453)/3,0)</f>
        <v>Q4</v>
      </c>
      <c r="R453" s="15" t="str">
        <f aca="false">TEXT(B453,"MMM-YYYY")</f>
        <v>Oct-2023</v>
      </c>
    </row>
    <row r="454" customFormat="false" ht="15" hidden="false" customHeight="true" outlineLevel="0" collapsed="false">
      <c r="A454" s="3" t="s">
        <v>550</v>
      </c>
      <c r="B454" s="4" t="n">
        <v>45210</v>
      </c>
      <c r="C454" s="3" t="s">
        <v>72</v>
      </c>
      <c r="D454" s="3" t="s">
        <v>35</v>
      </c>
      <c r="E454" s="3" t="s">
        <v>77</v>
      </c>
      <c r="F454" s="3" t="s">
        <v>81</v>
      </c>
      <c r="G454" s="5" t="s">
        <v>82</v>
      </c>
      <c r="H454" s="3" t="n">
        <v>13</v>
      </c>
      <c r="I454" s="6" t="n">
        <v>854</v>
      </c>
      <c r="J454" s="6" t="n">
        <v>600</v>
      </c>
      <c r="K454" s="3" t="n">
        <v>49</v>
      </c>
      <c r="L454" s="3" t="s">
        <v>26</v>
      </c>
      <c r="M454" s="6" t="n">
        <v>11102</v>
      </c>
      <c r="N454" s="6" t="n">
        <v>3302</v>
      </c>
      <c r="O454" s="12" t="n">
        <f aca="false">N454/M454</f>
        <v>0.297423887587822</v>
      </c>
      <c r="P454" s="13" t="n">
        <f aca="false">YEAR(B454)</f>
        <v>2023</v>
      </c>
      <c r="Q454" s="13" t="str">
        <f aca="false">"Q"&amp;ROUNDUP(MONTH(B454)/3,0)</f>
        <v>Q4</v>
      </c>
      <c r="R454" s="13" t="str">
        <f aca="false">TEXT(B454,"MMM-YYYY")</f>
        <v>Oct-2023</v>
      </c>
    </row>
    <row r="455" customFormat="false" ht="15" hidden="false" customHeight="true" outlineLevel="0" collapsed="false">
      <c r="A455" s="7" t="s">
        <v>551</v>
      </c>
      <c r="B455" s="8" t="n">
        <v>45210</v>
      </c>
      <c r="C455" s="7" t="s">
        <v>111</v>
      </c>
      <c r="D455" s="7" t="s">
        <v>29</v>
      </c>
      <c r="E455" s="7" t="s">
        <v>17</v>
      </c>
      <c r="F455" s="7" t="s">
        <v>44</v>
      </c>
      <c r="G455" s="9" t="s">
        <v>45</v>
      </c>
      <c r="H455" s="7" t="n">
        <v>5</v>
      </c>
      <c r="I455" s="10" t="n">
        <v>353</v>
      </c>
      <c r="J455" s="10" t="n">
        <v>250</v>
      </c>
      <c r="K455" s="7" t="n">
        <v>30</v>
      </c>
      <c r="L455" s="7" t="s">
        <v>26</v>
      </c>
      <c r="M455" s="10" t="n">
        <v>1765</v>
      </c>
      <c r="N455" s="10" t="n">
        <v>515</v>
      </c>
      <c r="O455" s="14" t="n">
        <f aca="false">N455/M455</f>
        <v>0.291784702549575</v>
      </c>
      <c r="P455" s="15" t="n">
        <f aca="false">YEAR(B455)</f>
        <v>2023</v>
      </c>
      <c r="Q455" s="15" t="str">
        <f aca="false">"Q"&amp;ROUNDUP(MONTH(B455)/3,0)</f>
        <v>Q4</v>
      </c>
      <c r="R455" s="15" t="str">
        <f aca="false">TEXT(B455,"MMM-YYYY")</f>
        <v>Oct-2023</v>
      </c>
    </row>
    <row r="456" customFormat="false" ht="15" hidden="false" customHeight="true" outlineLevel="0" collapsed="false">
      <c r="A456" s="3" t="s">
        <v>552</v>
      </c>
      <c r="B456" s="4" t="n">
        <v>45212</v>
      </c>
      <c r="C456" s="3" t="s">
        <v>34</v>
      </c>
      <c r="D456" s="3" t="s">
        <v>35</v>
      </c>
      <c r="E456" s="3" t="s">
        <v>39</v>
      </c>
      <c r="F456" s="3" t="s">
        <v>143</v>
      </c>
      <c r="G456" s="5" t="s">
        <v>144</v>
      </c>
      <c r="H456" s="3" t="n">
        <v>14</v>
      </c>
      <c r="I456" s="6" t="n">
        <v>342</v>
      </c>
      <c r="J456" s="6" t="n">
        <v>280</v>
      </c>
      <c r="K456" s="3" t="n">
        <v>30</v>
      </c>
      <c r="L456" s="3" t="s">
        <v>26</v>
      </c>
      <c r="M456" s="6" t="n">
        <v>4788</v>
      </c>
      <c r="N456" s="6" t="n">
        <v>868</v>
      </c>
      <c r="O456" s="12" t="n">
        <f aca="false">N456/M456</f>
        <v>0.181286549707602</v>
      </c>
      <c r="P456" s="13" t="n">
        <f aca="false">YEAR(B456)</f>
        <v>2023</v>
      </c>
      <c r="Q456" s="13" t="str">
        <f aca="false">"Q"&amp;ROUNDUP(MONTH(B456)/3,0)</f>
        <v>Q4</v>
      </c>
      <c r="R456" s="13" t="str">
        <f aca="false">TEXT(B456,"MMM-YYYY")</f>
        <v>Oct-2023</v>
      </c>
    </row>
    <row r="457" customFormat="false" ht="15" hidden="false" customHeight="true" outlineLevel="0" collapsed="false">
      <c r="A457" s="7" t="s">
        <v>553</v>
      </c>
      <c r="B457" s="8" t="n">
        <v>45212</v>
      </c>
      <c r="C457" s="7" t="s">
        <v>28</v>
      </c>
      <c r="D457" s="7" t="s">
        <v>29</v>
      </c>
      <c r="E457" s="7" t="s">
        <v>17</v>
      </c>
      <c r="F457" s="7" t="s">
        <v>54</v>
      </c>
      <c r="G457" s="9" t="s">
        <v>55</v>
      </c>
      <c r="H457" s="7" t="n">
        <v>10</v>
      </c>
      <c r="I457" s="10" t="n">
        <v>636</v>
      </c>
      <c r="J457" s="10" t="n">
        <v>450</v>
      </c>
      <c r="K457" s="7" t="n">
        <v>4</v>
      </c>
      <c r="L457" s="7" t="s">
        <v>20</v>
      </c>
      <c r="M457" s="10" t="n">
        <v>6360</v>
      </c>
      <c r="N457" s="10" t="n">
        <v>1860</v>
      </c>
      <c r="O457" s="14" t="n">
        <f aca="false">N457/M457</f>
        <v>0.292452830188679</v>
      </c>
      <c r="P457" s="15" t="n">
        <f aca="false">YEAR(B457)</f>
        <v>2023</v>
      </c>
      <c r="Q457" s="15" t="str">
        <f aca="false">"Q"&amp;ROUNDUP(MONTH(B457)/3,0)</f>
        <v>Q4</v>
      </c>
      <c r="R457" s="15" t="str">
        <f aca="false">TEXT(B457,"MMM-YYYY")</f>
        <v>Oct-2023</v>
      </c>
    </row>
    <row r="458" customFormat="false" ht="15" hidden="false" customHeight="true" outlineLevel="0" collapsed="false">
      <c r="A458" s="3" t="s">
        <v>554</v>
      </c>
      <c r="B458" s="4" t="n">
        <v>45214</v>
      </c>
      <c r="C458" s="3" t="s">
        <v>28</v>
      </c>
      <c r="D458" s="3" t="s">
        <v>29</v>
      </c>
      <c r="E458" s="3" t="s">
        <v>17</v>
      </c>
      <c r="F458" s="3" t="s">
        <v>44</v>
      </c>
      <c r="G458" s="5" t="s">
        <v>45</v>
      </c>
      <c r="H458" s="3" t="n">
        <v>8</v>
      </c>
      <c r="I458" s="6" t="n">
        <v>359</v>
      </c>
      <c r="J458" s="6" t="n">
        <v>250</v>
      </c>
      <c r="K458" s="3" t="n">
        <v>22</v>
      </c>
      <c r="L458" s="3" t="s">
        <v>26</v>
      </c>
      <c r="M458" s="6" t="n">
        <v>2872</v>
      </c>
      <c r="N458" s="6" t="n">
        <v>872</v>
      </c>
      <c r="O458" s="12" t="n">
        <f aca="false">N458/M458</f>
        <v>0.303621169916435</v>
      </c>
      <c r="P458" s="13" t="n">
        <f aca="false">YEAR(B458)</f>
        <v>2023</v>
      </c>
      <c r="Q458" s="13" t="str">
        <f aca="false">"Q"&amp;ROUNDUP(MONTH(B458)/3,0)</f>
        <v>Q4</v>
      </c>
      <c r="R458" s="13" t="str">
        <f aca="false">TEXT(B458,"MMM-YYYY")</f>
        <v>Oct-2023</v>
      </c>
    </row>
    <row r="459" customFormat="false" ht="15" hidden="false" customHeight="true" outlineLevel="0" collapsed="false">
      <c r="A459" s="7" t="s">
        <v>555</v>
      </c>
      <c r="B459" s="8" t="n">
        <v>45215</v>
      </c>
      <c r="C459" s="7" t="s">
        <v>72</v>
      </c>
      <c r="D459" s="7" t="s">
        <v>35</v>
      </c>
      <c r="E459" s="7" t="s">
        <v>62</v>
      </c>
      <c r="F459" s="7" t="s">
        <v>96</v>
      </c>
      <c r="G459" s="9" t="s">
        <v>97</v>
      </c>
      <c r="H459" s="7" t="n">
        <v>11</v>
      </c>
      <c r="I459" s="10" t="n">
        <v>108</v>
      </c>
      <c r="J459" s="10" t="n">
        <v>80</v>
      </c>
      <c r="K459" s="7" t="n">
        <v>43</v>
      </c>
      <c r="L459" s="7" t="s">
        <v>26</v>
      </c>
      <c r="M459" s="10" t="n">
        <v>1188</v>
      </c>
      <c r="N459" s="10" t="n">
        <v>308</v>
      </c>
      <c r="O459" s="14" t="n">
        <f aca="false">N459/M459</f>
        <v>0.259259259259259</v>
      </c>
      <c r="P459" s="15" t="n">
        <f aca="false">YEAR(B459)</f>
        <v>2023</v>
      </c>
      <c r="Q459" s="15" t="str">
        <f aca="false">"Q"&amp;ROUNDUP(MONTH(B459)/3,0)</f>
        <v>Q4</v>
      </c>
      <c r="R459" s="15" t="str">
        <f aca="false">TEXT(B459,"MMM-YYYY")</f>
        <v>Oct-2023</v>
      </c>
    </row>
    <row r="460" customFormat="false" ht="15" hidden="false" customHeight="true" outlineLevel="0" collapsed="false">
      <c r="A460" s="3" t="s">
        <v>556</v>
      </c>
      <c r="B460" s="4" t="n">
        <v>45215</v>
      </c>
      <c r="C460" s="3" t="s">
        <v>22</v>
      </c>
      <c r="D460" s="3" t="s">
        <v>16</v>
      </c>
      <c r="E460" s="3" t="s">
        <v>77</v>
      </c>
      <c r="F460" s="3" t="s">
        <v>152</v>
      </c>
      <c r="G460" s="5" t="s">
        <v>153</v>
      </c>
      <c r="H460" s="3" t="n">
        <v>9</v>
      </c>
      <c r="I460" s="6" t="n">
        <v>459</v>
      </c>
      <c r="J460" s="6" t="n">
        <v>350</v>
      </c>
      <c r="K460" s="3" t="n">
        <v>4</v>
      </c>
      <c r="L460" s="3" t="s">
        <v>20</v>
      </c>
      <c r="M460" s="6" t="n">
        <v>4131</v>
      </c>
      <c r="N460" s="6" t="n">
        <v>981</v>
      </c>
      <c r="O460" s="12" t="n">
        <f aca="false">N460/M460</f>
        <v>0.237472766884532</v>
      </c>
      <c r="P460" s="13" t="n">
        <f aca="false">YEAR(B460)</f>
        <v>2023</v>
      </c>
      <c r="Q460" s="13" t="str">
        <f aca="false">"Q"&amp;ROUNDUP(MONTH(B460)/3,0)</f>
        <v>Q4</v>
      </c>
      <c r="R460" s="13" t="str">
        <f aca="false">TEXT(B460,"MMM-YYYY")</f>
        <v>Oct-2023</v>
      </c>
    </row>
    <row r="461" customFormat="false" ht="15" hidden="false" customHeight="true" outlineLevel="0" collapsed="false">
      <c r="A461" s="7" t="s">
        <v>557</v>
      </c>
      <c r="B461" s="8" t="n">
        <v>45218</v>
      </c>
      <c r="C461" s="7" t="s">
        <v>15</v>
      </c>
      <c r="D461" s="7" t="s">
        <v>16</v>
      </c>
      <c r="E461" s="7" t="s">
        <v>39</v>
      </c>
      <c r="F461" s="7" t="s">
        <v>99</v>
      </c>
      <c r="G461" s="9" t="s">
        <v>100</v>
      </c>
      <c r="H461" s="7" t="n">
        <v>15</v>
      </c>
      <c r="I461" s="10" t="n">
        <v>262</v>
      </c>
      <c r="J461" s="10" t="n">
        <v>220</v>
      </c>
      <c r="K461" s="7" t="n">
        <v>24</v>
      </c>
      <c r="L461" s="7" t="s">
        <v>20</v>
      </c>
      <c r="M461" s="10" t="n">
        <v>3930</v>
      </c>
      <c r="N461" s="10" t="n">
        <v>630</v>
      </c>
      <c r="O461" s="14" t="n">
        <f aca="false">N461/M461</f>
        <v>0.16030534351145</v>
      </c>
      <c r="P461" s="15" t="n">
        <f aca="false">YEAR(B461)</f>
        <v>2023</v>
      </c>
      <c r="Q461" s="15" t="str">
        <f aca="false">"Q"&amp;ROUNDUP(MONTH(B461)/3,0)</f>
        <v>Q4</v>
      </c>
      <c r="R461" s="15" t="str">
        <f aca="false">TEXT(B461,"MMM-YYYY")</f>
        <v>Oct-2023</v>
      </c>
    </row>
    <row r="462" customFormat="false" ht="15" hidden="false" customHeight="true" outlineLevel="0" collapsed="false">
      <c r="A462" s="3" t="s">
        <v>558</v>
      </c>
      <c r="B462" s="4" t="n">
        <v>45219</v>
      </c>
      <c r="C462" s="3" t="s">
        <v>52</v>
      </c>
      <c r="D462" s="3" t="s">
        <v>29</v>
      </c>
      <c r="E462" s="3" t="s">
        <v>23</v>
      </c>
      <c r="F462" s="3" t="s">
        <v>198</v>
      </c>
      <c r="G462" s="5" t="s">
        <v>199</v>
      </c>
      <c r="H462" s="3" t="n">
        <v>8</v>
      </c>
      <c r="I462" s="6" t="n">
        <v>1129</v>
      </c>
      <c r="J462" s="6" t="n">
        <v>900</v>
      </c>
      <c r="K462" s="3" t="n">
        <v>48</v>
      </c>
      <c r="L462" s="3" t="s">
        <v>20</v>
      </c>
      <c r="M462" s="6" t="n">
        <v>9032</v>
      </c>
      <c r="N462" s="6" t="n">
        <v>1832</v>
      </c>
      <c r="O462" s="12" t="n">
        <f aca="false">N462/M462</f>
        <v>0.202834366696191</v>
      </c>
      <c r="P462" s="13" t="n">
        <f aca="false">YEAR(B462)</f>
        <v>2023</v>
      </c>
      <c r="Q462" s="13" t="str">
        <f aca="false">"Q"&amp;ROUNDUP(MONTH(B462)/3,0)</f>
        <v>Q4</v>
      </c>
      <c r="R462" s="13" t="str">
        <f aca="false">TEXT(B462,"MMM-YYYY")</f>
        <v>Oct-2023</v>
      </c>
    </row>
    <row r="463" customFormat="false" ht="15" hidden="false" customHeight="true" outlineLevel="0" collapsed="false">
      <c r="A463" s="7" t="s">
        <v>559</v>
      </c>
      <c r="B463" s="8" t="n">
        <v>45222</v>
      </c>
      <c r="C463" s="7" t="s">
        <v>15</v>
      </c>
      <c r="D463" s="7" t="s">
        <v>16</v>
      </c>
      <c r="E463" s="7" t="s">
        <v>30</v>
      </c>
      <c r="F463" s="7" t="s">
        <v>31</v>
      </c>
      <c r="G463" s="9" t="s">
        <v>32</v>
      </c>
      <c r="H463" s="7" t="n">
        <v>8</v>
      </c>
      <c r="I463" s="10" t="n">
        <v>1771</v>
      </c>
      <c r="J463" s="10" t="n">
        <v>1200</v>
      </c>
      <c r="K463" s="7" t="n">
        <v>1</v>
      </c>
      <c r="L463" s="7" t="s">
        <v>26</v>
      </c>
      <c r="M463" s="10" t="n">
        <v>14168</v>
      </c>
      <c r="N463" s="10" t="n">
        <v>4568</v>
      </c>
      <c r="O463" s="14" t="n">
        <f aca="false">N463/M463</f>
        <v>0.322416713721062</v>
      </c>
      <c r="P463" s="15" t="n">
        <f aca="false">YEAR(B463)</f>
        <v>2023</v>
      </c>
      <c r="Q463" s="15" t="str">
        <f aca="false">"Q"&amp;ROUNDUP(MONTH(B463)/3,0)</f>
        <v>Q4</v>
      </c>
      <c r="R463" s="15" t="str">
        <f aca="false">TEXT(B463,"MMM-YYYY")</f>
        <v>Oct-2023</v>
      </c>
    </row>
    <row r="464" customFormat="false" ht="15" hidden="false" customHeight="true" outlineLevel="0" collapsed="false">
      <c r="A464" s="3" t="s">
        <v>560</v>
      </c>
      <c r="B464" s="4" t="n">
        <v>45223</v>
      </c>
      <c r="C464" s="3" t="s">
        <v>22</v>
      </c>
      <c r="D464" s="3" t="s">
        <v>16</v>
      </c>
      <c r="E464" s="3" t="s">
        <v>17</v>
      </c>
      <c r="F464" s="3" t="s">
        <v>18</v>
      </c>
      <c r="G464" s="5" t="s">
        <v>19</v>
      </c>
      <c r="H464" s="3" t="n">
        <v>3</v>
      </c>
      <c r="I464" s="6" t="n">
        <v>1233</v>
      </c>
      <c r="J464" s="6" t="n">
        <v>900</v>
      </c>
      <c r="K464" s="3" t="n">
        <v>47</v>
      </c>
      <c r="L464" s="3" t="s">
        <v>26</v>
      </c>
      <c r="M464" s="6" t="n">
        <v>3699</v>
      </c>
      <c r="N464" s="6" t="n">
        <v>999</v>
      </c>
      <c r="O464" s="12" t="n">
        <f aca="false">N464/M464</f>
        <v>0.27007299270073</v>
      </c>
      <c r="P464" s="13" t="n">
        <f aca="false">YEAR(B464)</f>
        <v>2023</v>
      </c>
      <c r="Q464" s="13" t="str">
        <f aca="false">"Q"&amp;ROUNDUP(MONTH(B464)/3,0)</f>
        <v>Q4</v>
      </c>
      <c r="R464" s="13" t="str">
        <f aca="false">TEXT(B464,"MMM-YYYY")</f>
        <v>Oct-2023</v>
      </c>
    </row>
    <row r="465" customFormat="false" ht="15" hidden="false" customHeight="true" outlineLevel="0" collapsed="false">
      <c r="A465" s="7" t="s">
        <v>561</v>
      </c>
      <c r="B465" s="8" t="n">
        <v>45226</v>
      </c>
      <c r="C465" s="7" t="s">
        <v>72</v>
      </c>
      <c r="D465" s="7" t="s">
        <v>35</v>
      </c>
      <c r="E465" s="7" t="s">
        <v>39</v>
      </c>
      <c r="F465" s="7" t="s">
        <v>40</v>
      </c>
      <c r="G465" s="9" t="s">
        <v>41</v>
      </c>
      <c r="H465" s="7" t="n">
        <v>12</v>
      </c>
      <c r="I465" s="10" t="n">
        <v>111</v>
      </c>
      <c r="J465" s="10" t="n">
        <v>90</v>
      </c>
      <c r="K465" s="7" t="n">
        <v>46</v>
      </c>
      <c r="L465" s="7" t="s">
        <v>26</v>
      </c>
      <c r="M465" s="10" t="n">
        <v>1332</v>
      </c>
      <c r="N465" s="10" t="n">
        <v>252</v>
      </c>
      <c r="O465" s="14" t="n">
        <f aca="false">N465/M465</f>
        <v>0.189189189189189</v>
      </c>
      <c r="P465" s="15" t="n">
        <f aca="false">YEAR(B465)</f>
        <v>2023</v>
      </c>
      <c r="Q465" s="15" t="str">
        <f aca="false">"Q"&amp;ROUNDUP(MONTH(B465)/3,0)</f>
        <v>Q4</v>
      </c>
      <c r="R465" s="15" t="str">
        <f aca="false">TEXT(B465,"MMM-YYYY")</f>
        <v>Oct-2023</v>
      </c>
    </row>
    <row r="466" customFormat="false" ht="15" hidden="false" customHeight="true" outlineLevel="0" collapsed="false">
      <c r="A466" s="3" t="s">
        <v>562</v>
      </c>
      <c r="B466" s="4" t="n">
        <v>45232</v>
      </c>
      <c r="C466" s="3" t="s">
        <v>43</v>
      </c>
      <c r="D466" s="3" t="s">
        <v>16</v>
      </c>
      <c r="E466" s="3" t="s">
        <v>17</v>
      </c>
      <c r="F466" s="3" t="s">
        <v>54</v>
      </c>
      <c r="G466" s="5" t="s">
        <v>55</v>
      </c>
      <c r="H466" s="3" t="n">
        <v>7</v>
      </c>
      <c r="I466" s="6" t="n">
        <v>606</v>
      </c>
      <c r="J466" s="6" t="n">
        <v>450</v>
      </c>
      <c r="K466" s="3" t="n">
        <v>4</v>
      </c>
      <c r="L466" s="3" t="s">
        <v>26</v>
      </c>
      <c r="M466" s="6" t="n">
        <v>4242</v>
      </c>
      <c r="N466" s="6" t="n">
        <v>1092</v>
      </c>
      <c r="O466" s="12" t="n">
        <f aca="false">N466/M466</f>
        <v>0.257425742574257</v>
      </c>
      <c r="P466" s="13" t="n">
        <f aca="false">YEAR(B466)</f>
        <v>2023</v>
      </c>
      <c r="Q466" s="13" t="str">
        <f aca="false">"Q"&amp;ROUNDUP(MONTH(B466)/3,0)</f>
        <v>Q4</v>
      </c>
      <c r="R466" s="13" t="str">
        <f aca="false">TEXT(B466,"MMM-YYYY")</f>
        <v>Nov-2023</v>
      </c>
    </row>
    <row r="467" customFormat="false" ht="15" hidden="false" customHeight="true" outlineLevel="0" collapsed="false">
      <c r="A467" s="7" t="s">
        <v>563</v>
      </c>
      <c r="B467" s="8" t="n">
        <v>45232</v>
      </c>
      <c r="C467" s="7" t="s">
        <v>28</v>
      </c>
      <c r="D467" s="7" t="s">
        <v>29</v>
      </c>
      <c r="E467" s="7" t="s">
        <v>23</v>
      </c>
      <c r="F467" s="7" t="s">
        <v>49</v>
      </c>
      <c r="G467" s="9" t="s">
        <v>50</v>
      </c>
      <c r="H467" s="7" t="n">
        <v>10</v>
      </c>
      <c r="I467" s="10" t="n">
        <v>22601</v>
      </c>
      <c r="J467" s="10" t="n">
        <v>18000</v>
      </c>
      <c r="K467" s="7" t="n">
        <v>38</v>
      </c>
      <c r="L467" s="7" t="s">
        <v>20</v>
      </c>
      <c r="M467" s="10" t="n">
        <v>226010</v>
      </c>
      <c r="N467" s="10" t="n">
        <v>46010</v>
      </c>
      <c r="O467" s="14" t="n">
        <f aca="false">N467/M467</f>
        <v>0.203575063050308</v>
      </c>
      <c r="P467" s="15" t="n">
        <f aca="false">YEAR(B467)</f>
        <v>2023</v>
      </c>
      <c r="Q467" s="15" t="str">
        <f aca="false">"Q"&amp;ROUNDUP(MONTH(B467)/3,0)</f>
        <v>Q4</v>
      </c>
      <c r="R467" s="15" t="str">
        <f aca="false">TEXT(B467,"MMM-YYYY")</f>
        <v>Nov-2023</v>
      </c>
    </row>
    <row r="468" customFormat="false" ht="15" hidden="false" customHeight="true" outlineLevel="0" collapsed="false">
      <c r="A468" s="3" t="s">
        <v>564</v>
      </c>
      <c r="B468" s="4" t="n">
        <v>45233</v>
      </c>
      <c r="C468" s="3" t="s">
        <v>47</v>
      </c>
      <c r="D468" s="3" t="s">
        <v>48</v>
      </c>
      <c r="E468" s="3" t="s">
        <v>62</v>
      </c>
      <c r="F468" s="3" t="s">
        <v>69</v>
      </c>
      <c r="G468" s="5" t="s">
        <v>70</v>
      </c>
      <c r="H468" s="3" t="n">
        <v>10</v>
      </c>
      <c r="I468" s="6" t="n">
        <v>66</v>
      </c>
      <c r="J468" s="6" t="n">
        <v>50</v>
      </c>
      <c r="K468" s="3" t="n">
        <v>28</v>
      </c>
      <c r="L468" s="3" t="s">
        <v>20</v>
      </c>
      <c r="M468" s="6" t="n">
        <v>660</v>
      </c>
      <c r="N468" s="6" t="n">
        <v>160</v>
      </c>
      <c r="O468" s="12" t="n">
        <f aca="false">N468/M468</f>
        <v>0.242424242424242</v>
      </c>
      <c r="P468" s="13" t="n">
        <f aca="false">YEAR(B468)</f>
        <v>2023</v>
      </c>
      <c r="Q468" s="13" t="str">
        <f aca="false">"Q"&amp;ROUNDUP(MONTH(B468)/3,0)</f>
        <v>Q4</v>
      </c>
      <c r="R468" s="13" t="str">
        <f aca="false">TEXT(B468,"MMM-YYYY")</f>
        <v>Nov-2023</v>
      </c>
    </row>
    <row r="469" customFormat="false" ht="15" hidden="false" customHeight="true" outlineLevel="0" collapsed="false">
      <c r="A469" s="7" t="s">
        <v>565</v>
      </c>
      <c r="B469" s="8" t="n">
        <v>45239</v>
      </c>
      <c r="C469" s="7" t="s">
        <v>136</v>
      </c>
      <c r="D469" s="7" t="s">
        <v>35</v>
      </c>
      <c r="E469" s="7" t="s">
        <v>17</v>
      </c>
      <c r="F469" s="7" t="s">
        <v>54</v>
      </c>
      <c r="G469" s="9" t="s">
        <v>55</v>
      </c>
      <c r="H469" s="7" t="n">
        <v>15</v>
      </c>
      <c r="I469" s="10" t="n">
        <v>653</v>
      </c>
      <c r="J469" s="10" t="n">
        <v>450</v>
      </c>
      <c r="K469" s="7" t="n">
        <v>4</v>
      </c>
      <c r="L469" s="7" t="s">
        <v>20</v>
      </c>
      <c r="M469" s="10" t="n">
        <v>9795</v>
      </c>
      <c r="N469" s="10" t="n">
        <v>3045</v>
      </c>
      <c r="O469" s="14" t="n">
        <f aca="false">N469/M469</f>
        <v>0.310872894333844</v>
      </c>
      <c r="P469" s="15" t="n">
        <f aca="false">YEAR(B469)</f>
        <v>2023</v>
      </c>
      <c r="Q469" s="15" t="str">
        <f aca="false">"Q"&amp;ROUNDUP(MONTH(B469)/3,0)</f>
        <v>Q4</v>
      </c>
      <c r="R469" s="15" t="str">
        <f aca="false">TEXT(B469,"MMM-YYYY")</f>
        <v>Nov-2023</v>
      </c>
    </row>
    <row r="470" customFormat="false" ht="15" hidden="false" customHeight="true" outlineLevel="0" collapsed="false">
      <c r="A470" s="3" t="s">
        <v>566</v>
      </c>
      <c r="B470" s="4" t="n">
        <v>45241</v>
      </c>
      <c r="C470" s="3" t="s">
        <v>111</v>
      </c>
      <c r="D470" s="3" t="s">
        <v>29</v>
      </c>
      <c r="E470" s="3" t="s">
        <v>30</v>
      </c>
      <c r="F470" s="3" t="s">
        <v>118</v>
      </c>
      <c r="G470" s="5" t="s">
        <v>119</v>
      </c>
      <c r="H470" s="3" t="n">
        <v>12</v>
      </c>
      <c r="I470" s="6" t="n">
        <v>387</v>
      </c>
      <c r="J470" s="6" t="n">
        <v>280</v>
      </c>
      <c r="K470" s="3" t="n">
        <v>30</v>
      </c>
      <c r="L470" s="3" t="s">
        <v>20</v>
      </c>
      <c r="M470" s="6" t="n">
        <v>4644</v>
      </c>
      <c r="N470" s="6" t="n">
        <v>1284</v>
      </c>
      <c r="O470" s="12" t="n">
        <f aca="false">N470/M470</f>
        <v>0.276485788113695</v>
      </c>
      <c r="P470" s="13" t="n">
        <f aca="false">YEAR(B470)</f>
        <v>2023</v>
      </c>
      <c r="Q470" s="13" t="str">
        <f aca="false">"Q"&amp;ROUNDUP(MONTH(B470)/3,0)</f>
        <v>Q4</v>
      </c>
      <c r="R470" s="13" t="str">
        <f aca="false">TEXT(B470,"MMM-YYYY")</f>
        <v>Nov-2023</v>
      </c>
    </row>
    <row r="471" customFormat="false" ht="15" hidden="false" customHeight="true" outlineLevel="0" collapsed="false">
      <c r="A471" s="7" t="s">
        <v>567</v>
      </c>
      <c r="B471" s="8" t="n">
        <v>45241</v>
      </c>
      <c r="C471" s="7" t="s">
        <v>111</v>
      </c>
      <c r="D471" s="7" t="s">
        <v>29</v>
      </c>
      <c r="E471" s="7" t="s">
        <v>77</v>
      </c>
      <c r="F471" s="7" t="s">
        <v>81</v>
      </c>
      <c r="G471" s="9" t="s">
        <v>82</v>
      </c>
      <c r="H471" s="7" t="n">
        <v>13</v>
      </c>
      <c r="I471" s="10" t="n">
        <v>794</v>
      </c>
      <c r="J471" s="10" t="n">
        <v>600</v>
      </c>
      <c r="K471" s="7" t="n">
        <v>6</v>
      </c>
      <c r="L471" s="7" t="s">
        <v>20</v>
      </c>
      <c r="M471" s="10" t="n">
        <v>10322</v>
      </c>
      <c r="N471" s="10" t="n">
        <v>2522</v>
      </c>
      <c r="O471" s="14" t="n">
        <f aca="false">N471/M471</f>
        <v>0.244332493702771</v>
      </c>
      <c r="P471" s="15" t="n">
        <f aca="false">YEAR(B471)</f>
        <v>2023</v>
      </c>
      <c r="Q471" s="15" t="str">
        <f aca="false">"Q"&amp;ROUNDUP(MONTH(B471)/3,0)</f>
        <v>Q4</v>
      </c>
      <c r="R471" s="15" t="str">
        <f aca="false">TEXT(B471,"MMM-YYYY")</f>
        <v>Nov-2023</v>
      </c>
    </row>
    <row r="472" customFormat="false" ht="15" hidden="false" customHeight="true" outlineLevel="0" collapsed="false">
      <c r="A472" s="3" t="s">
        <v>568</v>
      </c>
      <c r="B472" s="4" t="n">
        <v>45245</v>
      </c>
      <c r="C472" s="3" t="s">
        <v>72</v>
      </c>
      <c r="D472" s="3" t="s">
        <v>35</v>
      </c>
      <c r="E472" s="3" t="s">
        <v>62</v>
      </c>
      <c r="F472" s="3" t="s">
        <v>103</v>
      </c>
      <c r="G472" s="5" t="s">
        <v>104</v>
      </c>
      <c r="H472" s="3" t="n">
        <v>11</v>
      </c>
      <c r="I472" s="6" t="n">
        <v>116</v>
      </c>
      <c r="J472" s="6" t="n">
        <v>90</v>
      </c>
      <c r="K472" s="3" t="n">
        <v>50</v>
      </c>
      <c r="L472" s="3" t="s">
        <v>26</v>
      </c>
      <c r="M472" s="6" t="n">
        <v>1276</v>
      </c>
      <c r="N472" s="6" t="n">
        <v>286</v>
      </c>
      <c r="O472" s="12" t="n">
        <f aca="false">N472/M472</f>
        <v>0.224137931034483</v>
      </c>
      <c r="P472" s="13" t="n">
        <f aca="false">YEAR(B472)</f>
        <v>2023</v>
      </c>
      <c r="Q472" s="13" t="str">
        <f aca="false">"Q"&amp;ROUNDUP(MONTH(B472)/3,0)</f>
        <v>Q4</v>
      </c>
      <c r="R472" s="13" t="str">
        <f aca="false">TEXT(B472,"MMM-YYYY")</f>
        <v>Nov-2023</v>
      </c>
    </row>
    <row r="473" customFormat="false" ht="15" hidden="false" customHeight="true" outlineLevel="0" collapsed="false">
      <c r="A473" s="7" t="s">
        <v>569</v>
      </c>
      <c r="B473" s="8" t="n">
        <v>45246</v>
      </c>
      <c r="C473" s="7" t="s">
        <v>58</v>
      </c>
      <c r="D473" s="7" t="s">
        <v>48</v>
      </c>
      <c r="E473" s="7" t="s">
        <v>17</v>
      </c>
      <c r="F473" s="7" t="s">
        <v>44</v>
      </c>
      <c r="G473" s="9" t="s">
        <v>45</v>
      </c>
      <c r="H473" s="7" t="n">
        <v>9</v>
      </c>
      <c r="I473" s="10" t="n">
        <v>337</v>
      </c>
      <c r="J473" s="10" t="n">
        <v>250</v>
      </c>
      <c r="K473" s="7" t="n">
        <v>38</v>
      </c>
      <c r="L473" s="7" t="s">
        <v>26</v>
      </c>
      <c r="M473" s="10" t="n">
        <v>3033</v>
      </c>
      <c r="N473" s="10" t="n">
        <v>783</v>
      </c>
      <c r="O473" s="14" t="n">
        <f aca="false">N473/M473</f>
        <v>0.258160237388724</v>
      </c>
      <c r="P473" s="15" t="n">
        <f aca="false">YEAR(B473)</f>
        <v>2023</v>
      </c>
      <c r="Q473" s="15" t="str">
        <f aca="false">"Q"&amp;ROUNDUP(MONTH(B473)/3,0)</f>
        <v>Q4</v>
      </c>
      <c r="R473" s="15" t="str">
        <f aca="false">TEXT(B473,"MMM-YYYY")</f>
        <v>Nov-2023</v>
      </c>
    </row>
    <row r="474" customFormat="false" ht="15" hidden="false" customHeight="true" outlineLevel="0" collapsed="false">
      <c r="A474" s="3" t="s">
        <v>570</v>
      </c>
      <c r="B474" s="4" t="n">
        <v>45247</v>
      </c>
      <c r="C474" s="3" t="s">
        <v>28</v>
      </c>
      <c r="D474" s="3" t="s">
        <v>29</v>
      </c>
      <c r="E474" s="3" t="s">
        <v>77</v>
      </c>
      <c r="F474" s="3" t="s">
        <v>180</v>
      </c>
      <c r="G474" s="5" t="s">
        <v>181</v>
      </c>
      <c r="H474" s="3" t="n">
        <v>10</v>
      </c>
      <c r="I474" s="6" t="n">
        <v>239</v>
      </c>
      <c r="J474" s="6" t="n">
        <v>180</v>
      </c>
      <c r="K474" s="3" t="n">
        <v>21</v>
      </c>
      <c r="L474" s="3" t="s">
        <v>20</v>
      </c>
      <c r="M474" s="6" t="n">
        <v>2390</v>
      </c>
      <c r="N474" s="6" t="n">
        <v>590</v>
      </c>
      <c r="O474" s="12" t="n">
        <f aca="false">N474/M474</f>
        <v>0.246861924686192</v>
      </c>
      <c r="P474" s="13" t="n">
        <f aca="false">YEAR(B474)</f>
        <v>2023</v>
      </c>
      <c r="Q474" s="13" t="str">
        <f aca="false">"Q"&amp;ROUNDUP(MONTH(B474)/3,0)</f>
        <v>Q4</v>
      </c>
      <c r="R474" s="13" t="str">
        <f aca="false">TEXT(B474,"MMM-YYYY")</f>
        <v>Nov-2023</v>
      </c>
    </row>
    <row r="475" customFormat="false" ht="15" hidden="false" customHeight="true" outlineLevel="0" collapsed="false">
      <c r="A475" s="7" t="s">
        <v>571</v>
      </c>
      <c r="B475" s="8" t="n">
        <v>45247</v>
      </c>
      <c r="C475" s="7" t="s">
        <v>15</v>
      </c>
      <c r="D475" s="7" t="s">
        <v>16</v>
      </c>
      <c r="E475" s="7" t="s">
        <v>77</v>
      </c>
      <c r="F475" s="7" t="s">
        <v>129</v>
      </c>
      <c r="G475" s="9" t="s">
        <v>130</v>
      </c>
      <c r="H475" s="7" t="n">
        <v>10</v>
      </c>
      <c r="I475" s="10" t="n">
        <v>170</v>
      </c>
      <c r="J475" s="10" t="n">
        <v>120</v>
      </c>
      <c r="K475" s="7" t="n">
        <v>20</v>
      </c>
      <c r="L475" s="7" t="s">
        <v>26</v>
      </c>
      <c r="M475" s="10" t="n">
        <v>1700</v>
      </c>
      <c r="N475" s="10" t="n">
        <v>500</v>
      </c>
      <c r="O475" s="14" t="n">
        <f aca="false">N475/M475</f>
        <v>0.294117647058824</v>
      </c>
      <c r="P475" s="15" t="n">
        <f aca="false">YEAR(B475)</f>
        <v>2023</v>
      </c>
      <c r="Q475" s="15" t="str">
        <f aca="false">"Q"&amp;ROUNDUP(MONTH(B475)/3,0)</f>
        <v>Q4</v>
      </c>
      <c r="R475" s="15" t="str">
        <f aca="false">TEXT(B475,"MMM-YYYY")</f>
        <v>Nov-2023</v>
      </c>
    </row>
    <row r="476" customFormat="false" ht="15" hidden="false" customHeight="true" outlineLevel="0" collapsed="false">
      <c r="A476" s="3" t="s">
        <v>572</v>
      </c>
      <c r="B476" s="4" t="n">
        <v>45248</v>
      </c>
      <c r="C476" s="3" t="s">
        <v>52</v>
      </c>
      <c r="D476" s="3" t="s">
        <v>29</v>
      </c>
      <c r="E476" s="3" t="s">
        <v>23</v>
      </c>
      <c r="F476" s="3" t="s">
        <v>49</v>
      </c>
      <c r="G476" s="5" t="s">
        <v>50</v>
      </c>
      <c r="H476" s="3" t="n">
        <v>9</v>
      </c>
      <c r="I476" s="6" t="n">
        <v>21378</v>
      </c>
      <c r="J476" s="6" t="n">
        <v>18000</v>
      </c>
      <c r="K476" s="3" t="n">
        <v>30</v>
      </c>
      <c r="L476" s="3" t="s">
        <v>20</v>
      </c>
      <c r="M476" s="6" t="n">
        <v>192402</v>
      </c>
      <c r="N476" s="6" t="n">
        <v>30402</v>
      </c>
      <c r="O476" s="12" t="n">
        <f aca="false">N476/M476</f>
        <v>0.158012910468706</v>
      </c>
      <c r="P476" s="13" t="n">
        <f aca="false">YEAR(B476)</f>
        <v>2023</v>
      </c>
      <c r="Q476" s="13" t="str">
        <f aca="false">"Q"&amp;ROUNDUP(MONTH(B476)/3,0)</f>
        <v>Q4</v>
      </c>
      <c r="R476" s="13" t="str">
        <f aca="false">TEXT(B476,"MMM-YYYY")</f>
        <v>Nov-2023</v>
      </c>
    </row>
    <row r="477" customFormat="false" ht="15" hidden="false" customHeight="true" outlineLevel="0" collapsed="false">
      <c r="A477" s="7" t="s">
        <v>573</v>
      </c>
      <c r="B477" s="8" t="n">
        <v>45250</v>
      </c>
      <c r="C477" s="7" t="s">
        <v>28</v>
      </c>
      <c r="D477" s="7" t="s">
        <v>29</v>
      </c>
      <c r="E477" s="7" t="s">
        <v>39</v>
      </c>
      <c r="F477" s="7" t="s">
        <v>40</v>
      </c>
      <c r="G477" s="9" t="s">
        <v>41</v>
      </c>
      <c r="H477" s="7" t="n">
        <v>12</v>
      </c>
      <c r="I477" s="10" t="n">
        <v>110</v>
      </c>
      <c r="J477" s="10" t="n">
        <v>90</v>
      </c>
      <c r="K477" s="7" t="n">
        <v>26</v>
      </c>
      <c r="L477" s="7" t="s">
        <v>26</v>
      </c>
      <c r="M477" s="10" t="n">
        <v>1320</v>
      </c>
      <c r="N477" s="10" t="n">
        <v>240</v>
      </c>
      <c r="O477" s="14" t="n">
        <f aca="false">N477/M477</f>
        <v>0.181818181818182</v>
      </c>
      <c r="P477" s="15" t="n">
        <f aca="false">YEAR(B477)</f>
        <v>2023</v>
      </c>
      <c r="Q477" s="15" t="str">
        <f aca="false">"Q"&amp;ROUNDUP(MONTH(B477)/3,0)</f>
        <v>Q4</v>
      </c>
      <c r="R477" s="15" t="str">
        <f aca="false">TEXT(B477,"MMM-YYYY")</f>
        <v>Nov-2023</v>
      </c>
    </row>
    <row r="478" customFormat="false" ht="15" hidden="false" customHeight="true" outlineLevel="0" collapsed="false">
      <c r="A478" s="3" t="s">
        <v>574</v>
      </c>
      <c r="B478" s="4" t="n">
        <v>45253</v>
      </c>
      <c r="C478" s="3" t="s">
        <v>58</v>
      </c>
      <c r="D478" s="3" t="s">
        <v>48</v>
      </c>
      <c r="E478" s="3" t="s">
        <v>39</v>
      </c>
      <c r="F478" s="3" t="s">
        <v>40</v>
      </c>
      <c r="G478" s="5" t="s">
        <v>41</v>
      </c>
      <c r="H478" s="3" t="n">
        <v>1</v>
      </c>
      <c r="I478" s="6" t="n">
        <v>109</v>
      </c>
      <c r="J478" s="6" t="n">
        <v>90</v>
      </c>
      <c r="K478" s="3" t="n">
        <v>3</v>
      </c>
      <c r="L478" s="3" t="s">
        <v>20</v>
      </c>
      <c r="M478" s="6" t="n">
        <v>109</v>
      </c>
      <c r="N478" s="6" t="n">
        <v>19</v>
      </c>
      <c r="O478" s="12" t="n">
        <f aca="false">N478/M478</f>
        <v>0.174311926605505</v>
      </c>
      <c r="P478" s="13" t="n">
        <f aca="false">YEAR(B478)</f>
        <v>2023</v>
      </c>
      <c r="Q478" s="13" t="str">
        <f aca="false">"Q"&amp;ROUNDUP(MONTH(B478)/3,0)</f>
        <v>Q4</v>
      </c>
      <c r="R478" s="13" t="str">
        <f aca="false">TEXT(B478,"MMM-YYYY")</f>
        <v>Nov-2023</v>
      </c>
    </row>
    <row r="479" customFormat="false" ht="15" hidden="false" customHeight="true" outlineLevel="0" collapsed="false">
      <c r="A479" s="7" t="s">
        <v>575</v>
      </c>
      <c r="B479" s="8" t="n">
        <v>45254</v>
      </c>
      <c r="C479" s="7" t="s">
        <v>47</v>
      </c>
      <c r="D479" s="7" t="s">
        <v>48</v>
      </c>
      <c r="E479" s="7" t="s">
        <v>23</v>
      </c>
      <c r="F479" s="7" t="s">
        <v>49</v>
      </c>
      <c r="G479" s="9" t="s">
        <v>50</v>
      </c>
      <c r="H479" s="7" t="n">
        <v>4</v>
      </c>
      <c r="I479" s="10" t="n">
        <v>22490</v>
      </c>
      <c r="J479" s="10" t="n">
        <v>18000</v>
      </c>
      <c r="K479" s="7" t="n">
        <v>14</v>
      </c>
      <c r="L479" s="7" t="s">
        <v>20</v>
      </c>
      <c r="M479" s="10" t="n">
        <v>89960</v>
      </c>
      <c r="N479" s="10" t="n">
        <v>17960</v>
      </c>
      <c r="O479" s="14" t="n">
        <f aca="false">N479/M479</f>
        <v>0.199644286349489</v>
      </c>
      <c r="P479" s="15" t="n">
        <f aca="false">YEAR(B479)</f>
        <v>2023</v>
      </c>
      <c r="Q479" s="15" t="str">
        <f aca="false">"Q"&amp;ROUNDUP(MONTH(B479)/3,0)</f>
        <v>Q4</v>
      </c>
      <c r="R479" s="15" t="str">
        <f aca="false">TEXT(B479,"MMM-YYYY")</f>
        <v>Nov-2023</v>
      </c>
    </row>
    <row r="480" customFormat="false" ht="15" hidden="false" customHeight="true" outlineLevel="0" collapsed="false">
      <c r="A480" s="3" t="s">
        <v>576</v>
      </c>
      <c r="B480" s="4" t="n">
        <v>45254</v>
      </c>
      <c r="C480" s="3" t="s">
        <v>34</v>
      </c>
      <c r="D480" s="3" t="s">
        <v>35</v>
      </c>
      <c r="E480" s="3" t="s">
        <v>77</v>
      </c>
      <c r="F480" s="3" t="s">
        <v>180</v>
      </c>
      <c r="G480" s="5" t="s">
        <v>181</v>
      </c>
      <c r="H480" s="3" t="n">
        <v>15</v>
      </c>
      <c r="I480" s="6" t="n">
        <v>260</v>
      </c>
      <c r="J480" s="6" t="n">
        <v>180</v>
      </c>
      <c r="K480" s="3" t="n">
        <v>3</v>
      </c>
      <c r="L480" s="3" t="s">
        <v>26</v>
      </c>
      <c r="M480" s="6" t="n">
        <v>3900</v>
      </c>
      <c r="N480" s="6" t="n">
        <v>1200</v>
      </c>
      <c r="O480" s="12" t="n">
        <f aca="false">N480/M480</f>
        <v>0.307692307692308</v>
      </c>
      <c r="P480" s="13" t="n">
        <f aca="false">YEAR(B480)</f>
        <v>2023</v>
      </c>
      <c r="Q480" s="13" t="str">
        <f aca="false">"Q"&amp;ROUNDUP(MONTH(B480)/3,0)</f>
        <v>Q4</v>
      </c>
      <c r="R480" s="13" t="str">
        <f aca="false">TEXT(B480,"MMM-YYYY")</f>
        <v>Nov-2023</v>
      </c>
    </row>
    <row r="481" customFormat="false" ht="15" hidden="false" customHeight="true" outlineLevel="0" collapsed="false">
      <c r="A481" s="7" t="s">
        <v>577</v>
      </c>
      <c r="B481" s="8" t="n">
        <v>45254</v>
      </c>
      <c r="C481" s="7" t="s">
        <v>28</v>
      </c>
      <c r="D481" s="7" t="s">
        <v>29</v>
      </c>
      <c r="E481" s="7" t="s">
        <v>62</v>
      </c>
      <c r="F481" s="7" t="s">
        <v>103</v>
      </c>
      <c r="G481" s="9" t="s">
        <v>104</v>
      </c>
      <c r="H481" s="7" t="n">
        <v>11</v>
      </c>
      <c r="I481" s="10" t="n">
        <v>117</v>
      </c>
      <c r="J481" s="10" t="n">
        <v>90</v>
      </c>
      <c r="K481" s="7" t="n">
        <v>36</v>
      </c>
      <c r="L481" s="7" t="s">
        <v>20</v>
      </c>
      <c r="M481" s="10" t="n">
        <v>1287</v>
      </c>
      <c r="N481" s="10" t="n">
        <v>297</v>
      </c>
      <c r="O481" s="14" t="n">
        <f aca="false">N481/M481</f>
        <v>0.230769230769231</v>
      </c>
      <c r="P481" s="15" t="n">
        <f aca="false">YEAR(B481)</f>
        <v>2023</v>
      </c>
      <c r="Q481" s="15" t="str">
        <f aca="false">"Q"&amp;ROUNDUP(MONTH(B481)/3,0)</f>
        <v>Q4</v>
      </c>
      <c r="R481" s="15" t="str">
        <f aca="false">TEXT(B481,"MMM-YYYY")</f>
        <v>Nov-2023</v>
      </c>
    </row>
    <row r="482" customFormat="false" ht="15" hidden="false" customHeight="true" outlineLevel="0" collapsed="false">
      <c r="A482" s="3" t="s">
        <v>578</v>
      </c>
      <c r="B482" s="4" t="n">
        <v>45255</v>
      </c>
      <c r="C482" s="3" t="s">
        <v>52</v>
      </c>
      <c r="D482" s="3" t="s">
        <v>29</v>
      </c>
      <c r="E482" s="3" t="s">
        <v>23</v>
      </c>
      <c r="F482" s="3" t="s">
        <v>49</v>
      </c>
      <c r="G482" s="5" t="s">
        <v>50</v>
      </c>
      <c r="H482" s="3" t="n">
        <v>14</v>
      </c>
      <c r="I482" s="6" t="n">
        <v>22648</v>
      </c>
      <c r="J482" s="6" t="n">
        <v>18000</v>
      </c>
      <c r="K482" s="3" t="n">
        <v>24</v>
      </c>
      <c r="L482" s="3" t="s">
        <v>26</v>
      </c>
      <c r="M482" s="6" t="n">
        <v>317072</v>
      </c>
      <c r="N482" s="6" t="n">
        <v>65072</v>
      </c>
      <c r="O482" s="12" t="n">
        <f aca="false">N482/M482</f>
        <v>0.20522783468739</v>
      </c>
      <c r="P482" s="13" t="n">
        <f aca="false">YEAR(B482)</f>
        <v>2023</v>
      </c>
      <c r="Q482" s="13" t="str">
        <f aca="false">"Q"&amp;ROUNDUP(MONTH(B482)/3,0)</f>
        <v>Q4</v>
      </c>
      <c r="R482" s="13" t="str">
        <f aca="false">TEXT(B482,"MMM-YYYY")</f>
        <v>Nov-2023</v>
      </c>
    </row>
    <row r="483" customFormat="false" ht="15" hidden="false" customHeight="true" outlineLevel="0" collapsed="false">
      <c r="A483" s="7" t="s">
        <v>579</v>
      </c>
      <c r="B483" s="8" t="n">
        <v>45256</v>
      </c>
      <c r="C483" s="7" t="s">
        <v>111</v>
      </c>
      <c r="D483" s="7" t="s">
        <v>29</v>
      </c>
      <c r="E483" s="7" t="s">
        <v>39</v>
      </c>
      <c r="F483" s="7" t="s">
        <v>40</v>
      </c>
      <c r="G483" s="9" t="s">
        <v>41</v>
      </c>
      <c r="H483" s="7" t="n">
        <v>2</v>
      </c>
      <c r="I483" s="10" t="n">
        <v>109</v>
      </c>
      <c r="J483" s="10" t="n">
        <v>90</v>
      </c>
      <c r="K483" s="7" t="n">
        <v>3</v>
      </c>
      <c r="L483" s="7" t="s">
        <v>20</v>
      </c>
      <c r="M483" s="10" t="n">
        <v>218</v>
      </c>
      <c r="N483" s="10" t="n">
        <v>38</v>
      </c>
      <c r="O483" s="14" t="n">
        <f aca="false">N483/M483</f>
        <v>0.174311926605505</v>
      </c>
      <c r="P483" s="15" t="n">
        <f aca="false">YEAR(B483)</f>
        <v>2023</v>
      </c>
      <c r="Q483" s="15" t="str">
        <f aca="false">"Q"&amp;ROUNDUP(MONTH(B483)/3,0)</f>
        <v>Q4</v>
      </c>
      <c r="R483" s="15" t="str">
        <f aca="false">TEXT(B483,"MMM-YYYY")</f>
        <v>Nov-2023</v>
      </c>
    </row>
    <row r="484" customFormat="false" ht="15" hidden="false" customHeight="true" outlineLevel="0" collapsed="false">
      <c r="A484" s="3" t="s">
        <v>580</v>
      </c>
      <c r="B484" s="4" t="n">
        <v>45257</v>
      </c>
      <c r="C484" s="3" t="s">
        <v>111</v>
      </c>
      <c r="D484" s="3" t="s">
        <v>29</v>
      </c>
      <c r="E484" s="3" t="s">
        <v>39</v>
      </c>
      <c r="F484" s="3" t="s">
        <v>143</v>
      </c>
      <c r="G484" s="5" t="s">
        <v>144</v>
      </c>
      <c r="H484" s="3" t="n">
        <v>11</v>
      </c>
      <c r="I484" s="6" t="n">
        <v>316</v>
      </c>
      <c r="J484" s="6" t="n">
        <v>280</v>
      </c>
      <c r="K484" s="3" t="n">
        <v>29</v>
      </c>
      <c r="L484" s="3" t="s">
        <v>26</v>
      </c>
      <c r="M484" s="6" t="n">
        <v>3476</v>
      </c>
      <c r="N484" s="6" t="n">
        <v>396</v>
      </c>
      <c r="O484" s="12" t="n">
        <f aca="false">N484/M484</f>
        <v>0.113924050632911</v>
      </c>
      <c r="P484" s="13" t="n">
        <f aca="false">YEAR(B484)</f>
        <v>2023</v>
      </c>
      <c r="Q484" s="13" t="str">
        <f aca="false">"Q"&amp;ROUNDUP(MONTH(B484)/3,0)</f>
        <v>Q4</v>
      </c>
      <c r="R484" s="13" t="str">
        <f aca="false">TEXT(B484,"MMM-YYYY")</f>
        <v>Nov-2023</v>
      </c>
    </row>
    <row r="485" customFormat="false" ht="15" hidden="false" customHeight="true" outlineLevel="0" collapsed="false">
      <c r="A485" s="7" t="s">
        <v>581</v>
      </c>
      <c r="B485" s="8" t="n">
        <v>45260</v>
      </c>
      <c r="C485" s="7" t="s">
        <v>47</v>
      </c>
      <c r="D485" s="7" t="s">
        <v>48</v>
      </c>
      <c r="E485" s="7" t="s">
        <v>30</v>
      </c>
      <c r="F485" s="7" t="s">
        <v>126</v>
      </c>
      <c r="G485" s="9" t="s">
        <v>127</v>
      </c>
      <c r="H485" s="7" t="n">
        <v>7</v>
      </c>
      <c r="I485" s="10" t="n">
        <v>567</v>
      </c>
      <c r="J485" s="10" t="n">
        <v>400</v>
      </c>
      <c r="K485" s="7" t="n">
        <v>7</v>
      </c>
      <c r="L485" s="7" t="s">
        <v>26</v>
      </c>
      <c r="M485" s="10" t="n">
        <v>3969</v>
      </c>
      <c r="N485" s="10" t="n">
        <v>1169</v>
      </c>
      <c r="O485" s="14" t="n">
        <f aca="false">N485/M485</f>
        <v>0.294532627865961</v>
      </c>
      <c r="P485" s="15" t="n">
        <f aca="false">YEAR(B485)</f>
        <v>2023</v>
      </c>
      <c r="Q485" s="15" t="str">
        <f aca="false">"Q"&amp;ROUNDUP(MONTH(B485)/3,0)</f>
        <v>Q4</v>
      </c>
      <c r="R485" s="15" t="str">
        <f aca="false">TEXT(B485,"MMM-YYYY")</f>
        <v>Nov-2023</v>
      </c>
    </row>
    <row r="486" customFormat="false" ht="15" hidden="false" customHeight="true" outlineLevel="0" collapsed="false">
      <c r="A486" s="3" t="s">
        <v>582</v>
      </c>
      <c r="B486" s="4" t="n">
        <v>45262</v>
      </c>
      <c r="C486" s="3" t="s">
        <v>47</v>
      </c>
      <c r="D486" s="3" t="s">
        <v>48</v>
      </c>
      <c r="E486" s="3" t="s">
        <v>77</v>
      </c>
      <c r="F486" s="3" t="s">
        <v>78</v>
      </c>
      <c r="G486" s="5" t="s">
        <v>79</v>
      </c>
      <c r="H486" s="3" t="n">
        <v>1</v>
      </c>
      <c r="I486" s="6" t="n">
        <v>1288</v>
      </c>
      <c r="J486" s="6" t="n">
        <v>900</v>
      </c>
      <c r="K486" s="3" t="n">
        <v>10</v>
      </c>
      <c r="L486" s="3" t="s">
        <v>26</v>
      </c>
      <c r="M486" s="6" t="n">
        <v>1288</v>
      </c>
      <c r="N486" s="6" t="n">
        <v>388</v>
      </c>
      <c r="O486" s="12" t="n">
        <f aca="false">N486/M486</f>
        <v>0.301242236024845</v>
      </c>
      <c r="P486" s="13" t="n">
        <f aca="false">YEAR(B486)</f>
        <v>2023</v>
      </c>
      <c r="Q486" s="13" t="str">
        <f aca="false">"Q"&amp;ROUNDUP(MONTH(B486)/3,0)</f>
        <v>Q4</v>
      </c>
      <c r="R486" s="13" t="str">
        <f aca="false">TEXT(B486,"MMM-YYYY")</f>
        <v>Dec-2023</v>
      </c>
    </row>
    <row r="487" customFormat="false" ht="15" hidden="false" customHeight="true" outlineLevel="0" collapsed="false">
      <c r="A487" s="7" t="s">
        <v>583</v>
      </c>
      <c r="B487" s="8" t="n">
        <v>45262</v>
      </c>
      <c r="C487" s="7" t="s">
        <v>94</v>
      </c>
      <c r="D487" s="7" t="s">
        <v>48</v>
      </c>
      <c r="E487" s="7" t="s">
        <v>77</v>
      </c>
      <c r="F487" s="7" t="s">
        <v>78</v>
      </c>
      <c r="G487" s="9" t="s">
        <v>79</v>
      </c>
      <c r="H487" s="7" t="n">
        <v>7</v>
      </c>
      <c r="I487" s="10" t="n">
        <v>1202</v>
      </c>
      <c r="J487" s="10" t="n">
        <v>900</v>
      </c>
      <c r="K487" s="7" t="n">
        <v>0</v>
      </c>
      <c r="L487" s="7" t="s">
        <v>20</v>
      </c>
      <c r="M487" s="10" t="n">
        <v>8414</v>
      </c>
      <c r="N487" s="10" t="n">
        <v>2114</v>
      </c>
      <c r="O487" s="14" t="n">
        <f aca="false">N487/M487</f>
        <v>0.251247920133112</v>
      </c>
      <c r="P487" s="15" t="n">
        <f aca="false">YEAR(B487)</f>
        <v>2023</v>
      </c>
      <c r="Q487" s="15" t="str">
        <f aca="false">"Q"&amp;ROUNDUP(MONTH(B487)/3,0)</f>
        <v>Q4</v>
      </c>
      <c r="R487" s="15" t="str">
        <f aca="false">TEXT(B487,"MMM-YYYY")</f>
        <v>Dec-2023</v>
      </c>
    </row>
    <row r="488" customFormat="false" ht="15" hidden="false" customHeight="true" outlineLevel="0" collapsed="false">
      <c r="A488" s="3" t="s">
        <v>584</v>
      </c>
      <c r="B488" s="4" t="n">
        <v>45264</v>
      </c>
      <c r="C488" s="3" t="s">
        <v>94</v>
      </c>
      <c r="D488" s="3" t="s">
        <v>48</v>
      </c>
      <c r="E488" s="3" t="s">
        <v>39</v>
      </c>
      <c r="F488" s="3" t="s">
        <v>161</v>
      </c>
      <c r="G488" s="5" t="s">
        <v>162</v>
      </c>
      <c r="H488" s="3" t="n">
        <v>14</v>
      </c>
      <c r="I488" s="6" t="n">
        <v>393</v>
      </c>
      <c r="J488" s="6" t="n">
        <v>350</v>
      </c>
      <c r="K488" s="3" t="n">
        <v>0</v>
      </c>
      <c r="L488" s="3" t="s">
        <v>20</v>
      </c>
      <c r="M488" s="6" t="n">
        <v>5502</v>
      </c>
      <c r="N488" s="6" t="n">
        <v>602</v>
      </c>
      <c r="O488" s="12" t="n">
        <f aca="false">N488/M488</f>
        <v>0.10941475826972</v>
      </c>
      <c r="P488" s="13" t="n">
        <f aca="false">YEAR(B488)</f>
        <v>2023</v>
      </c>
      <c r="Q488" s="13" t="str">
        <f aca="false">"Q"&amp;ROUNDUP(MONTH(B488)/3,0)</f>
        <v>Q4</v>
      </c>
      <c r="R488" s="13" t="str">
        <f aca="false">TEXT(B488,"MMM-YYYY")</f>
        <v>Dec-2023</v>
      </c>
    </row>
    <row r="489" customFormat="false" ht="15" hidden="false" customHeight="true" outlineLevel="0" collapsed="false">
      <c r="A489" s="7" t="s">
        <v>585</v>
      </c>
      <c r="B489" s="8" t="n">
        <v>45265</v>
      </c>
      <c r="C489" s="7" t="s">
        <v>94</v>
      </c>
      <c r="D489" s="7" t="s">
        <v>48</v>
      </c>
      <c r="E489" s="7" t="s">
        <v>30</v>
      </c>
      <c r="F489" s="7" t="s">
        <v>31</v>
      </c>
      <c r="G489" s="9" t="s">
        <v>32</v>
      </c>
      <c r="H489" s="7" t="n">
        <v>7</v>
      </c>
      <c r="I489" s="10" t="n">
        <v>1664</v>
      </c>
      <c r="J489" s="10" t="n">
        <v>1200</v>
      </c>
      <c r="K489" s="7" t="n">
        <v>32</v>
      </c>
      <c r="L489" s="7" t="s">
        <v>26</v>
      </c>
      <c r="M489" s="10" t="n">
        <v>11648</v>
      </c>
      <c r="N489" s="10" t="n">
        <v>3248</v>
      </c>
      <c r="O489" s="14" t="n">
        <f aca="false">N489/M489</f>
        <v>0.278846153846154</v>
      </c>
      <c r="P489" s="15" t="n">
        <f aca="false">YEAR(B489)</f>
        <v>2023</v>
      </c>
      <c r="Q489" s="15" t="str">
        <f aca="false">"Q"&amp;ROUNDUP(MONTH(B489)/3,0)</f>
        <v>Q4</v>
      </c>
      <c r="R489" s="15" t="str">
        <f aca="false">TEXT(B489,"MMM-YYYY")</f>
        <v>Dec-2023</v>
      </c>
    </row>
    <row r="490" customFormat="false" ht="15" hidden="false" customHeight="true" outlineLevel="0" collapsed="false">
      <c r="A490" s="3" t="s">
        <v>586</v>
      </c>
      <c r="B490" s="4" t="n">
        <v>45266</v>
      </c>
      <c r="C490" s="3" t="s">
        <v>15</v>
      </c>
      <c r="D490" s="3" t="s">
        <v>16</v>
      </c>
      <c r="E490" s="3" t="s">
        <v>39</v>
      </c>
      <c r="F490" s="3" t="s">
        <v>161</v>
      </c>
      <c r="G490" s="5" t="s">
        <v>162</v>
      </c>
      <c r="H490" s="3" t="n">
        <v>7</v>
      </c>
      <c r="I490" s="6" t="n">
        <v>420</v>
      </c>
      <c r="J490" s="6" t="n">
        <v>350</v>
      </c>
      <c r="K490" s="3" t="n">
        <v>25</v>
      </c>
      <c r="L490" s="3" t="s">
        <v>20</v>
      </c>
      <c r="M490" s="6" t="n">
        <v>2940</v>
      </c>
      <c r="N490" s="6" t="n">
        <v>490</v>
      </c>
      <c r="O490" s="12" t="n">
        <f aca="false">N490/M490</f>
        <v>0.166666666666667</v>
      </c>
      <c r="P490" s="13" t="n">
        <f aca="false">YEAR(B490)</f>
        <v>2023</v>
      </c>
      <c r="Q490" s="13" t="str">
        <f aca="false">"Q"&amp;ROUNDUP(MONTH(B490)/3,0)</f>
        <v>Q4</v>
      </c>
      <c r="R490" s="13" t="str">
        <f aca="false">TEXT(B490,"MMM-YYYY")</f>
        <v>Dec-2023</v>
      </c>
    </row>
    <row r="491" customFormat="false" ht="15" hidden="false" customHeight="true" outlineLevel="0" collapsed="false">
      <c r="A491" s="7" t="s">
        <v>587</v>
      </c>
      <c r="B491" s="8" t="n">
        <v>45269</v>
      </c>
      <c r="C491" s="7" t="s">
        <v>94</v>
      </c>
      <c r="D491" s="7" t="s">
        <v>48</v>
      </c>
      <c r="E491" s="7" t="s">
        <v>77</v>
      </c>
      <c r="F491" s="7" t="s">
        <v>81</v>
      </c>
      <c r="G491" s="9" t="s">
        <v>82</v>
      </c>
      <c r="H491" s="7" t="n">
        <v>8</v>
      </c>
      <c r="I491" s="10" t="n">
        <v>802</v>
      </c>
      <c r="J491" s="10" t="n">
        <v>600</v>
      </c>
      <c r="K491" s="7" t="n">
        <v>3</v>
      </c>
      <c r="L491" s="7" t="s">
        <v>26</v>
      </c>
      <c r="M491" s="10" t="n">
        <v>6416</v>
      </c>
      <c r="N491" s="10" t="n">
        <v>1616</v>
      </c>
      <c r="O491" s="14" t="n">
        <f aca="false">N491/M491</f>
        <v>0.251870324189526</v>
      </c>
      <c r="P491" s="15" t="n">
        <f aca="false">YEAR(B491)</f>
        <v>2023</v>
      </c>
      <c r="Q491" s="15" t="str">
        <f aca="false">"Q"&amp;ROUNDUP(MONTH(B491)/3,0)</f>
        <v>Q4</v>
      </c>
      <c r="R491" s="15" t="str">
        <f aca="false">TEXT(B491,"MMM-YYYY")</f>
        <v>Dec-2023</v>
      </c>
    </row>
    <row r="492" customFormat="false" ht="15" hidden="false" customHeight="true" outlineLevel="0" collapsed="false">
      <c r="A492" s="3" t="s">
        <v>588</v>
      </c>
      <c r="B492" s="4" t="n">
        <v>45269</v>
      </c>
      <c r="C492" s="3" t="s">
        <v>34</v>
      </c>
      <c r="D492" s="3" t="s">
        <v>35</v>
      </c>
      <c r="E492" s="3" t="s">
        <v>39</v>
      </c>
      <c r="F492" s="3" t="s">
        <v>143</v>
      </c>
      <c r="G492" s="5" t="s">
        <v>144</v>
      </c>
      <c r="H492" s="3" t="n">
        <v>10</v>
      </c>
      <c r="I492" s="6" t="n">
        <v>322</v>
      </c>
      <c r="J492" s="6" t="n">
        <v>280</v>
      </c>
      <c r="K492" s="3" t="n">
        <v>44</v>
      </c>
      <c r="L492" s="3" t="s">
        <v>26</v>
      </c>
      <c r="M492" s="6" t="n">
        <v>3220</v>
      </c>
      <c r="N492" s="6" t="n">
        <v>420</v>
      </c>
      <c r="O492" s="12" t="n">
        <f aca="false">N492/M492</f>
        <v>0.130434782608696</v>
      </c>
      <c r="P492" s="13" t="n">
        <f aca="false">YEAR(B492)</f>
        <v>2023</v>
      </c>
      <c r="Q492" s="13" t="str">
        <f aca="false">"Q"&amp;ROUNDUP(MONTH(B492)/3,0)</f>
        <v>Q4</v>
      </c>
      <c r="R492" s="13" t="str">
        <f aca="false">TEXT(B492,"MMM-YYYY")</f>
        <v>Dec-2023</v>
      </c>
    </row>
    <row r="493" customFormat="false" ht="15" hidden="false" customHeight="true" outlineLevel="0" collapsed="false">
      <c r="A493" s="7" t="s">
        <v>589</v>
      </c>
      <c r="B493" s="8" t="n">
        <v>45272</v>
      </c>
      <c r="C493" s="7" t="s">
        <v>94</v>
      </c>
      <c r="D493" s="7" t="s">
        <v>48</v>
      </c>
      <c r="E493" s="7" t="s">
        <v>23</v>
      </c>
      <c r="F493" s="7" t="s">
        <v>204</v>
      </c>
      <c r="G493" s="9" t="s">
        <v>205</v>
      </c>
      <c r="H493" s="7" t="n">
        <v>4</v>
      </c>
      <c r="I493" s="10" t="n">
        <v>2155</v>
      </c>
      <c r="J493" s="10" t="n">
        <v>1800</v>
      </c>
      <c r="K493" s="7" t="n">
        <v>3</v>
      </c>
      <c r="L493" s="7" t="s">
        <v>26</v>
      </c>
      <c r="M493" s="10" t="n">
        <v>8620</v>
      </c>
      <c r="N493" s="10" t="n">
        <v>1420</v>
      </c>
      <c r="O493" s="14" t="n">
        <f aca="false">N493/M493</f>
        <v>0.164733178654292</v>
      </c>
      <c r="P493" s="15" t="n">
        <f aca="false">YEAR(B493)</f>
        <v>2023</v>
      </c>
      <c r="Q493" s="15" t="str">
        <f aca="false">"Q"&amp;ROUNDUP(MONTH(B493)/3,0)</f>
        <v>Q4</v>
      </c>
      <c r="R493" s="15" t="str">
        <f aca="false">TEXT(B493,"MMM-YYYY")</f>
        <v>Dec-2023</v>
      </c>
    </row>
    <row r="494" customFormat="false" ht="15" hidden="false" customHeight="true" outlineLevel="0" collapsed="false">
      <c r="A494" s="3" t="s">
        <v>590</v>
      </c>
      <c r="B494" s="4" t="n">
        <v>45275</v>
      </c>
      <c r="C494" s="3" t="s">
        <v>111</v>
      </c>
      <c r="D494" s="3" t="s">
        <v>29</v>
      </c>
      <c r="E494" s="3" t="s">
        <v>23</v>
      </c>
      <c r="F494" s="3" t="s">
        <v>204</v>
      </c>
      <c r="G494" s="5" t="s">
        <v>205</v>
      </c>
      <c r="H494" s="3" t="n">
        <v>7</v>
      </c>
      <c r="I494" s="6" t="n">
        <v>2169</v>
      </c>
      <c r="J494" s="6" t="n">
        <v>1800</v>
      </c>
      <c r="K494" s="3" t="n">
        <v>35</v>
      </c>
      <c r="L494" s="3" t="s">
        <v>20</v>
      </c>
      <c r="M494" s="6" t="n">
        <v>15183</v>
      </c>
      <c r="N494" s="6" t="n">
        <v>2583</v>
      </c>
      <c r="O494" s="12" t="n">
        <f aca="false">N494/M494</f>
        <v>0.170124481327801</v>
      </c>
      <c r="P494" s="13" t="n">
        <f aca="false">YEAR(B494)</f>
        <v>2023</v>
      </c>
      <c r="Q494" s="13" t="str">
        <f aca="false">"Q"&amp;ROUNDUP(MONTH(B494)/3,0)</f>
        <v>Q4</v>
      </c>
      <c r="R494" s="13" t="str">
        <f aca="false">TEXT(B494,"MMM-YYYY")</f>
        <v>Dec-2023</v>
      </c>
    </row>
    <row r="495" customFormat="false" ht="15" hidden="false" customHeight="true" outlineLevel="0" collapsed="false">
      <c r="A495" s="7" t="s">
        <v>591</v>
      </c>
      <c r="B495" s="8" t="n">
        <v>45279</v>
      </c>
      <c r="C495" s="7" t="s">
        <v>34</v>
      </c>
      <c r="D495" s="7" t="s">
        <v>35</v>
      </c>
      <c r="E495" s="7" t="s">
        <v>62</v>
      </c>
      <c r="F495" s="7" t="s">
        <v>63</v>
      </c>
      <c r="G495" s="9" t="s">
        <v>64</v>
      </c>
      <c r="H495" s="7" t="n">
        <v>12</v>
      </c>
      <c r="I495" s="10" t="n">
        <v>83</v>
      </c>
      <c r="J495" s="10" t="n">
        <v>60</v>
      </c>
      <c r="K495" s="7" t="n">
        <v>0</v>
      </c>
      <c r="L495" s="7" t="s">
        <v>26</v>
      </c>
      <c r="M495" s="10" t="n">
        <v>996</v>
      </c>
      <c r="N495" s="10" t="n">
        <v>276</v>
      </c>
      <c r="O495" s="14" t="n">
        <f aca="false">N495/M495</f>
        <v>0.27710843373494</v>
      </c>
      <c r="P495" s="15" t="n">
        <f aca="false">YEAR(B495)</f>
        <v>2023</v>
      </c>
      <c r="Q495" s="15" t="str">
        <f aca="false">"Q"&amp;ROUNDUP(MONTH(B495)/3,0)</f>
        <v>Q4</v>
      </c>
      <c r="R495" s="15" t="str">
        <f aca="false">TEXT(B495,"MMM-YYYY")</f>
        <v>Dec-2023</v>
      </c>
    </row>
    <row r="496" customFormat="false" ht="15" hidden="false" customHeight="true" outlineLevel="0" collapsed="false">
      <c r="A496" s="3" t="s">
        <v>592</v>
      </c>
      <c r="B496" s="4" t="n">
        <v>45280</v>
      </c>
      <c r="C496" s="3" t="s">
        <v>136</v>
      </c>
      <c r="D496" s="3" t="s">
        <v>35</v>
      </c>
      <c r="E496" s="3" t="s">
        <v>17</v>
      </c>
      <c r="F496" s="3" t="s">
        <v>59</v>
      </c>
      <c r="G496" s="5" t="s">
        <v>60</v>
      </c>
      <c r="H496" s="3" t="n">
        <v>8</v>
      </c>
      <c r="I496" s="6" t="n">
        <v>393</v>
      </c>
      <c r="J496" s="6" t="n">
        <v>280</v>
      </c>
      <c r="K496" s="3" t="n">
        <v>44</v>
      </c>
      <c r="L496" s="3" t="s">
        <v>26</v>
      </c>
      <c r="M496" s="6" t="n">
        <v>3144</v>
      </c>
      <c r="N496" s="6" t="n">
        <v>904</v>
      </c>
      <c r="O496" s="12" t="n">
        <f aca="false">N496/M496</f>
        <v>0.287531806615776</v>
      </c>
      <c r="P496" s="13" t="n">
        <f aca="false">YEAR(B496)</f>
        <v>2023</v>
      </c>
      <c r="Q496" s="13" t="str">
        <f aca="false">"Q"&amp;ROUNDUP(MONTH(B496)/3,0)</f>
        <v>Q4</v>
      </c>
      <c r="R496" s="13" t="str">
        <f aca="false">TEXT(B496,"MMM-YYYY")</f>
        <v>Dec-2023</v>
      </c>
    </row>
    <row r="497" customFormat="false" ht="15" hidden="false" customHeight="true" outlineLevel="0" collapsed="false">
      <c r="A497" s="7" t="s">
        <v>593</v>
      </c>
      <c r="B497" s="8" t="n">
        <v>45282</v>
      </c>
      <c r="C497" s="7" t="s">
        <v>43</v>
      </c>
      <c r="D497" s="7" t="s">
        <v>16</v>
      </c>
      <c r="E497" s="7" t="s">
        <v>17</v>
      </c>
      <c r="F497" s="7" t="s">
        <v>59</v>
      </c>
      <c r="G497" s="9" t="s">
        <v>60</v>
      </c>
      <c r="H497" s="7" t="n">
        <v>9</v>
      </c>
      <c r="I497" s="10" t="n">
        <v>388</v>
      </c>
      <c r="J497" s="10" t="n">
        <v>280</v>
      </c>
      <c r="K497" s="7" t="n">
        <v>22</v>
      </c>
      <c r="L497" s="7" t="s">
        <v>26</v>
      </c>
      <c r="M497" s="10" t="n">
        <v>3492</v>
      </c>
      <c r="N497" s="10" t="n">
        <v>972</v>
      </c>
      <c r="O497" s="14" t="n">
        <f aca="false">N497/M497</f>
        <v>0.278350515463918</v>
      </c>
      <c r="P497" s="15" t="n">
        <f aca="false">YEAR(B497)</f>
        <v>2023</v>
      </c>
      <c r="Q497" s="15" t="str">
        <f aca="false">"Q"&amp;ROUNDUP(MONTH(B497)/3,0)</f>
        <v>Q4</v>
      </c>
      <c r="R497" s="15" t="str">
        <f aca="false">TEXT(B497,"MMM-YYYY")</f>
        <v>Dec-2023</v>
      </c>
    </row>
    <row r="498" customFormat="false" ht="15" hidden="false" customHeight="true" outlineLevel="0" collapsed="false">
      <c r="A498" s="3" t="s">
        <v>594</v>
      </c>
      <c r="B498" s="4" t="n">
        <v>45282</v>
      </c>
      <c r="C498" s="3" t="s">
        <v>15</v>
      </c>
      <c r="D498" s="3" t="s">
        <v>16</v>
      </c>
      <c r="E498" s="3" t="s">
        <v>30</v>
      </c>
      <c r="F498" s="3" t="s">
        <v>126</v>
      </c>
      <c r="G498" s="5" t="s">
        <v>127</v>
      </c>
      <c r="H498" s="3" t="n">
        <v>10</v>
      </c>
      <c r="I498" s="6" t="n">
        <v>555</v>
      </c>
      <c r="J498" s="6" t="n">
        <v>400</v>
      </c>
      <c r="K498" s="3" t="n">
        <v>34</v>
      </c>
      <c r="L498" s="3" t="s">
        <v>26</v>
      </c>
      <c r="M498" s="6" t="n">
        <v>5550</v>
      </c>
      <c r="N498" s="6" t="n">
        <v>1550</v>
      </c>
      <c r="O498" s="12" t="n">
        <f aca="false">N498/M498</f>
        <v>0.279279279279279</v>
      </c>
      <c r="P498" s="13" t="n">
        <f aca="false">YEAR(B498)</f>
        <v>2023</v>
      </c>
      <c r="Q498" s="13" t="str">
        <f aca="false">"Q"&amp;ROUNDUP(MONTH(B498)/3,0)</f>
        <v>Q4</v>
      </c>
      <c r="R498" s="13" t="str">
        <f aca="false">TEXT(B498,"MMM-YYYY")</f>
        <v>Dec-2023</v>
      </c>
    </row>
    <row r="499" customFormat="false" ht="15" hidden="false" customHeight="true" outlineLevel="0" collapsed="false">
      <c r="A499" s="7" t="s">
        <v>595</v>
      </c>
      <c r="B499" s="8" t="n">
        <v>45282</v>
      </c>
      <c r="C499" s="7" t="s">
        <v>15</v>
      </c>
      <c r="D499" s="7" t="s">
        <v>16</v>
      </c>
      <c r="E499" s="7" t="s">
        <v>30</v>
      </c>
      <c r="F499" s="7" t="s">
        <v>126</v>
      </c>
      <c r="G499" s="9" t="s">
        <v>127</v>
      </c>
      <c r="H499" s="7" t="n">
        <v>2</v>
      </c>
      <c r="I499" s="10" t="n">
        <v>607</v>
      </c>
      <c r="J499" s="10" t="n">
        <v>400</v>
      </c>
      <c r="K499" s="7" t="n">
        <v>21</v>
      </c>
      <c r="L499" s="7" t="s">
        <v>26</v>
      </c>
      <c r="M499" s="10" t="n">
        <v>1214</v>
      </c>
      <c r="N499" s="10" t="n">
        <v>414</v>
      </c>
      <c r="O499" s="14" t="n">
        <f aca="false">N499/M499</f>
        <v>0.341021416803954</v>
      </c>
      <c r="P499" s="15" t="n">
        <f aca="false">YEAR(B499)</f>
        <v>2023</v>
      </c>
      <c r="Q499" s="15" t="str">
        <f aca="false">"Q"&amp;ROUNDUP(MONTH(B499)/3,0)</f>
        <v>Q4</v>
      </c>
      <c r="R499" s="15" t="str">
        <f aca="false">TEXT(B499,"MMM-YYYY")</f>
        <v>Dec-2023</v>
      </c>
    </row>
    <row r="500" customFormat="false" ht="15" hidden="false" customHeight="true" outlineLevel="0" collapsed="false">
      <c r="A500" s="3" t="s">
        <v>596</v>
      </c>
      <c r="B500" s="4" t="n">
        <v>45283</v>
      </c>
      <c r="C500" s="3" t="s">
        <v>15</v>
      </c>
      <c r="D500" s="3" t="s">
        <v>16</v>
      </c>
      <c r="E500" s="3" t="s">
        <v>77</v>
      </c>
      <c r="F500" s="3" t="s">
        <v>129</v>
      </c>
      <c r="G500" s="5" t="s">
        <v>130</v>
      </c>
      <c r="H500" s="3" t="n">
        <v>8</v>
      </c>
      <c r="I500" s="6" t="n">
        <v>172</v>
      </c>
      <c r="J500" s="6" t="n">
        <v>120</v>
      </c>
      <c r="K500" s="3" t="n">
        <v>33</v>
      </c>
      <c r="L500" s="3" t="s">
        <v>26</v>
      </c>
      <c r="M500" s="6" t="n">
        <v>1376</v>
      </c>
      <c r="N500" s="6" t="n">
        <v>416</v>
      </c>
      <c r="O500" s="12" t="n">
        <f aca="false">N500/M500</f>
        <v>0.302325581395349</v>
      </c>
      <c r="P500" s="13" t="n">
        <f aca="false">YEAR(B500)</f>
        <v>2023</v>
      </c>
      <c r="Q500" s="13" t="str">
        <f aca="false">"Q"&amp;ROUNDUP(MONTH(B500)/3,0)</f>
        <v>Q4</v>
      </c>
      <c r="R500" s="13" t="str">
        <f aca="false">TEXT(B500,"MMM-YYYY")</f>
        <v>Dec-2023</v>
      </c>
    </row>
    <row r="501" customFormat="false" ht="15" hidden="false" customHeight="true" outlineLevel="0" collapsed="false">
      <c r="A501" s="7" t="s">
        <v>597</v>
      </c>
      <c r="B501" s="8" t="n">
        <v>45288</v>
      </c>
      <c r="C501" s="7" t="s">
        <v>28</v>
      </c>
      <c r="D501" s="7" t="s">
        <v>29</v>
      </c>
      <c r="E501" s="7" t="s">
        <v>39</v>
      </c>
      <c r="F501" s="7" t="s">
        <v>40</v>
      </c>
      <c r="G501" s="9" t="s">
        <v>41</v>
      </c>
      <c r="H501" s="7" t="n">
        <v>14</v>
      </c>
      <c r="I501" s="10" t="n">
        <v>103</v>
      </c>
      <c r="J501" s="10" t="n">
        <v>90</v>
      </c>
      <c r="K501" s="7" t="n">
        <v>6</v>
      </c>
      <c r="L501" s="7" t="s">
        <v>26</v>
      </c>
      <c r="M501" s="10" t="n">
        <v>1442</v>
      </c>
      <c r="N501" s="10" t="n">
        <v>182</v>
      </c>
      <c r="O501" s="14" t="n">
        <f aca="false">N501/M501</f>
        <v>0.12621359223301</v>
      </c>
      <c r="P501" s="15" t="n">
        <f aca="false">YEAR(B501)</f>
        <v>2023</v>
      </c>
      <c r="Q501" s="15" t="str">
        <f aca="false">"Q"&amp;ROUNDUP(MONTH(B501)/3,0)</f>
        <v>Q4</v>
      </c>
      <c r="R501" s="15" t="str">
        <f aca="false">TEXT(B501,"MMM-YYYY")</f>
        <v>Dec-2023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4" min="3" style="1" width="20"/>
    <col collapsed="false" customWidth="true" hidden="false" outlineLevel="0" max="5" min="5" style="1" width="16"/>
    <col collapsed="false" customWidth="true" hidden="false" outlineLevel="0" max="6" min="6" style="1" width="8"/>
  </cols>
  <sheetData>
    <row r="1" customFormat="false" ht="24" hidden="false" customHeight="true" outlineLevel="0" collapsed="false">
      <c r="A1" s="16" t="s">
        <v>602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17" t="s">
        <v>603</v>
      </c>
      <c r="B2" s="17" t="s">
        <v>3</v>
      </c>
      <c r="C2" s="17" t="s">
        <v>604</v>
      </c>
      <c r="D2" s="17" t="s">
        <v>605</v>
      </c>
      <c r="E2" s="17" t="s">
        <v>606</v>
      </c>
      <c r="F2" s="17" t="s">
        <v>607</v>
      </c>
    </row>
    <row r="3" customFormat="false" ht="15" hidden="false" customHeight="true" outlineLevel="0" collapsed="false">
      <c r="A3" s="18" t="s">
        <v>52</v>
      </c>
      <c r="B3" s="19" t="s">
        <v>29</v>
      </c>
      <c r="C3" s="20" t="n">
        <v>1016138</v>
      </c>
      <c r="D3" s="20" t="n">
        <v>196778</v>
      </c>
      <c r="E3" s="21" t="n">
        <v>0.193652830619463</v>
      </c>
      <c r="F3" s="22" t="n">
        <v>1</v>
      </c>
    </row>
    <row r="4" customFormat="false" ht="15" hidden="false" customHeight="true" outlineLevel="0" collapsed="false">
      <c r="A4" s="23" t="s">
        <v>28</v>
      </c>
      <c r="B4" s="24" t="s">
        <v>29</v>
      </c>
      <c r="C4" s="25" t="n">
        <v>730384</v>
      </c>
      <c r="D4" s="25" t="n">
        <v>166194</v>
      </c>
      <c r="E4" s="21" t="n">
        <v>0.227543319678416</v>
      </c>
      <c r="F4" s="26" t="n">
        <v>2</v>
      </c>
    </row>
    <row r="5" customFormat="false" ht="15" hidden="false" customHeight="true" outlineLevel="0" collapsed="false">
      <c r="A5" s="18" t="s">
        <v>94</v>
      </c>
      <c r="B5" s="19" t="s">
        <v>48</v>
      </c>
      <c r="C5" s="20" t="n">
        <v>709094</v>
      </c>
      <c r="D5" s="20" t="n">
        <v>132754</v>
      </c>
      <c r="E5" s="21" t="n">
        <v>0.187216363415852</v>
      </c>
      <c r="F5" s="22" t="n">
        <v>3</v>
      </c>
    </row>
    <row r="6" customFormat="false" ht="15" hidden="false" customHeight="true" outlineLevel="0" collapsed="false">
      <c r="A6" s="23" t="s">
        <v>47</v>
      </c>
      <c r="B6" s="24" t="s">
        <v>48</v>
      </c>
      <c r="C6" s="25" t="n">
        <v>599845</v>
      </c>
      <c r="D6" s="25" t="n">
        <v>123625</v>
      </c>
      <c r="E6" s="21" t="n">
        <v>0.206094907851195</v>
      </c>
      <c r="F6" s="26" t="n">
        <v>4</v>
      </c>
    </row>
    <row r="7" customFormat="false" ht="15" hidden="false" customHeight="true" outlineLevel="0" collapsed="false">
      <c r="A7" s="18" t="s">
        <v>34</v>
      </c>
      <c r="B7" s="19" t="s">
        <v>35</v>
      </c>
      <c r="C7" s="20" t="n">
        <v>587366</v>
      </c>
      <c r="D7" s="20" t="n">
        <v>122286</v>
      </c>
      <c r="E7" s="21" t="n">
        <v>0.20819386889946</v>
      </c>
      <c r="F7" s="22" t="n">
        <v>5</v>
      </c>
    </row>
    <row r="8" customFormat="false" ht="15" hidden="false" customHeight="true" outlineLevel="0" collapsed="false">
      <c r="A8" s="23" t="s">
        <v>15</v>
      </c>
      <c r="B8" s="24" t="s">
        <v>16</v>
      </c>
      <c r="C8" s="25" t="n">
        <v>560924</v>
      </c>
      <c r="D8" s="25" t="n">
        <v>135904</v>
      </c>
      <c r="E8" s="21" t="n">
        <v>0.242285942480621</v>
      </c>
      <c r="F8" s="26" t="n">
        <v>6</v>
      </c>
    </row>
    <row r="9" customFormat="false" ht="15" hidden="false" customHeight="true" outlineLevel="0" collapsed="false">
      <c r="A9" s="18" t="s">
        <v>43</v>
      </c>
      <c r="B9" s="19" t="s">
        <v>16</v>
      </c>
      <c r="C9" s="20" t="n">
        <v>457713</v>
      </c>
      <c r="D9" s="20" t="n">
        <v>88603</v>
      </c>
      <c r="E9" s="21" t="n">
        <v>0.193577634893481</v>
      </c>
      <c r="F9" s="22" t="n">
        <v>7</v>
      </c>
    </row>
    <row r="10" customFormat="false" ht="15" hidden="false" customHeight="true" outlineLevel="0" collapsed="false">
      <c r="A10" s="23" t="s">
        <v>72</v>
      </c>
      <c r="B10" s="24" t="s">
        <v>35</v>
      </c>
      <c r="C10" s="25" t="n">
        <v>387293</v>
      </c>
      <c r="D10" s="25" t="n">
        <v>80403</v>
      </c>
      <c r="E10" s="21" t="n">
        <v>0.207602512826207</v>
      </c>
      <c r="F10" s="26" t="n">
        <v>8</v>
      </c>
    </row>
    <row r="11" customFormat="false" ht="15" hidden="false" customHeight="true" outlineLevel="0" collapsed="false">
      <c r="A11" s="18" t="s">
        <v>22</v>
      </c>
      <c r="B11" s="19" t="s">
        <v>16</v>
      </c>
      <c r="C11" s="20" t="n">
        <v>272935</v>
      </c>
      <c r="D11" s="20" t="n">
        <v>57095</v>
      </c>
      <c r="E11" s="21" t="n">
        <v>0.209189001044205</v>
      </c>
      <c r="F11" s="22" t="n">
        <v>9</v>
      </c>
    </row>
    <row r="12" customFormat="false" ht="15" hidden="false" customHeight="true" outlineLevel="0" collapsed="false">
      <c r="A12" s="23" t="s">
        <v>111</v>
      </c>
      <c r="B12" s="24" t="s">
        <v>29</v>
      </c>
      <c r="C12" s="25" t="n">
        <v>207048</v>
      </c>
      <c r="D12" s="25" t="n">
        <v>54128</v>
      </c>
      <c r="E12" s="27" t="n">
        <v>0.261427301881689</v>
      </c>
      <c r="F12" s="26" t="n">
        <v>10</v>
      </c>
    </row>
    <row r="13" customFormat="false" ht="15" hidden="false" customHeight="true" outlineLevel="0" collapsed="false">
      <c r="A13" s="18" t="s">
        <v>136</v>
      </c>
      <c r="B13" s="19" t="s">
        <v>35</v>
      </c>
      <c r="C13" s="20" t="n">
        <v>140158</v>
      </c>
      <c r="D13" s="20" t="n">
        <v>37058</v>
      </c>
      <c r="E13" s="28" t="n">
        <v>0.264401603904165</v>
      </c>
      <c r="F13" s="22" t="n">
        <v>11</v>
      </c>
    </row>
    <row r="14" customFormat="false" ht="15" hidden="false" customHeight="true" outlineLevel="0" collapsed="false">
      <c r="A14" s="23" t="s">
        <v>58</v>
      </c>
      <c r="B14" s="24" t="s">
        <v>48</v>
      </c>
      <c r="C14" s="25" t="n">
        <v>111146</v>
      </c>
      <c r="D14" s="25" t="n">
        <v>29416</v>
      </c>
      <c r="E14" s="27" t="n">
        <v>0.264660896478506</v>
      </c>
      <c r="F14" s="26" t="n">
        <v>12</v>
      </c>
    </row>
    <row r="17" customFormat="false" ht="24" hidden="false" customHeight="true" outlineLevel="0" collapsed="false">
      <c r="A17" s="29" t="s">
        <v>608</v>
      </c>
      <c r="B17" s="29"/>
      <c r="C17" s="29"/>
      <c r="D17" s="29"/>
      <c r="E17" s="29"/>
    </row>
    <row r="18" customFormat="false" ht="15" hidden="false" customHeight="true" outlineLevel="0" collapsed="false">
      <c r="A18" s="17" t="s">
        <v>4</v>
      </c>
      <c r="B18" s="17" t="s">
        <v>609</v>
      </c>
      <c r="C18" s="17" t="s">
        <v>610</v>
      </c>
      <c r="D18" s="17" t="s">
        <v>611</v>
      </c>
      <c r="E18" s="17" t="s">
        <v>612</v>
      </c>
    </row>
    <row r="19" customFormat="false" ht="15" hidden="false" customHeight="true" outlineLevel="0" collapsed="false">
      <c r="A19" s="18" t="s">
        <v>23</v>
      </c>
      <c r="B19" s="30" t="n">
        <v>496</v>
      </c>
      <c r="C19" s="20" t="n">
        <v>3993672</v>
      </c>
      <c r="D19" s="20" t="n">
        <v>732672</v>
      </c>
      <c r="E19" s="28" t="n">
        <v>0.183458230921318</v>
      </c>
    </row>
    <row r="20" customFormat="false" ht="15" hidden="false" customHeight="true" outlineLevel="0" collapsed="false">
      <c r="A20" s="23" t="s">
        <v>30</v>
      </c>
      <c r="B20" s="31" t="n">
        <v>705</v>
      </c>
      <c r="C20" s="25" t="n">
        <v>618767</v>
      </c>
      <c r="D20" s="25" t="n">
        <v>192227</v>
      </c>
      <c r="E20" s="27" t="n">
        <v>0.310661363647383</v>
      </c>
    </row>
    <row r="21" customFormat="false" ht="15" hidden="false" customHeight="true" outlineLevel="0" collapsed="false">
      <c r="A21" s="18" t="s">
        <v>77</v>
      </c>
      <c r="B21" s="30" t="n">
        <v>880</v>
      </c>
      <c r="C21" s="20" t="n">
        <v>521958</v>
      </c>
      <c r="D21" s="20" t="n">
        <v>144798</v>
      </c>
      <c r="E21" s="28" t="n">
        <v>0.277413125193981</v>
      </c>
    </row>
    <row r="22" customFormat="false" ht="15" hidden="false" customHeight="true" outlineLevel="0" collapsed="false">
      <c r="A22" s="23" t="s">
        <v>17</v>
      </c>
      <c r="B22" s="31" t="n">
        <v>604</v>
      </c>
      <c r="C22" s="25" t="n">
        <v>354301</v>
      </c>
      <c r="D22" s="25" t="n">
        <v>99561</v>
      </c>
      <c r="E22" s="27" t="n">
        <v>0.281006827528006</v>
      </c>
    </row>
    <row r="23" customFormat="false" ht="15" hidden="false" customHeight="true" outlineLevel="0" collapsed="false">
      <c r="A23" s="18" t="s">
        <v>39</v>
      </c>
      <c r="B23" s="30" t="n">
        <v>728</v>
      </c>
      <c r="C23" s="20" t="n">
        <v>194120</v>
      </c>
      <c r="D23" s="20" t="n">
        <v>29940</v>
      </c>
      <c r="E23" s="28" t="n">
        <v>0.154234494127344</v>
      </c>
    </row>
    <row r="24" customFormat="false" ht="15" hidden="false" customHeight="true" outlineLevel="0" collapsed="false">
      <c r="A24" s="23" t="s">
        <v>62</v>
      </c>
      <c r="B24" s="31" t="n">
        <v>618</v>
      </c>
      <c r="C24" s="25" t="n">
        <v>97226</v>
      </c>
      <c r="D24" s="25" t="n">
        <v>25046</v>
      </c>
      <c r="E24" s="27" t="n">
        <v>0.257605990167239</v>
      </c>
    </row>
  </sheetData>
  <mergeCells count="2">
    <mergeCell ref="A1:F1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6"/>
  </cols>
  <sheetData>
    <row r="1" customFormat="false" ht="27.75" hidden="false" customHeight="true" outlineLevel="0" collapsed="false">
      <c r="A1" s="32" t="s">
        <v>613</v>
      </c>
      <c r="B1" s="32"/>
      <c r="C1" s="32"/>
      <c r="D1" s="32"/>
      <c r="E1" s="32"/>
      <c r="F1" s="32"/>
      <c r="G1" s="32"/>
      <c r="H1" s="32"/>
    </row>
    <row r="2" customFormat="false" ht="18" hidden="false" customHeight="true" outlineLevel="0" collapsed="false">
      <c r="A2" s="33" t="s">
        <v>614</v>
      </c>
      <c r="B2" s="33"/>
      <c r="C2" s="33"/>
      <c r="D2" s="33"/>
      <c r="E2" s="33"/>
      <c r="F2" s="33"/>
      <c r="G2" s="33"/>
      <c r="H2" s="33"/>
    </row>
    <row r="4" customFormat="false" ht="21.75" hidden="false" customHeight="true" outlineLevel="0" collapsed="false">
      <c r="A4" s="32" t="s">
        <v>615</v>
      </c>
      <c r="B4" s="32"/>
      <c r="C4" s="32"/>
      <c r="D4" s="32"/>
    </row>
    <row r="5" customFormat="false" ht="19.5" hidden="false" customHeight="true" outlineLevel="0" collapsed="false">
      <c r="A5" s="34" t="s">
        <v>616</v>
      </c>
      <c r="B5" s="35" t="n">
        <v>45000000</v>
      </c>
      <c r="C5" s="36" t="s">
        <v>617</v>
      </c>
    </row>
    <row r="6" customFormat="false" ht="19.5" hidden="false" customHeight="true" outlineLevel="0" collapsed="false">
      <c r="A6" s="34" t="s">
        <v>618</v>
      </c>
      <c r="B6" s="37" t="n">
        <v>0.08</v>
      </c>
      <c r="C6" s="36" t="s">
        <v>619</v>
      </c>
    </row>
    <row r="7" customFormat="false" ht="19.5" hidden="false" customHeight="true" outlineLevel="0" collapsed="false">
      <c r="A7" s="34" t="s">
        <v>620</v>
      </c>
      <c r="B7" s="37" t="n">
        <v>0.15</v>
      </c>
      <c r="C7" s="36" t="s">
        <v>621</v>
      </c>
    </row>
    <row r="8" customFormat="false" ht="19.5" hidden="false" customHeight="true" outlineLevel="0" collapsed="false">
      <c r="A8" s="34" t="s">
        <v>622</v>
      </c>
      <c r="B8" s="37" t="n">
        <v>0.03</v>
      </c>
      <c r="C8" s="36" t="s">
        <v>623</v>
      </c>
    </row>
    <row r="9" customFormat="false" ht="19.5" hidden="false" customHeight="true" outlineLevel="0" collapsed="false">
      <c r="A9" s="34" t="s">
        <v>606</v>
      </c>
      <c r="B9" s="37" t="n">
        <v>0.32</v>
      </c>
      <c r="C9" s="36" t="s">
        <v>624</v>
      </c>
    </row>
    <row r="10" customFormat="false" ht="19.5" hidden="false" customHeight="true" outlineLevel="0" collapsed="false">
      <c r="A10" s="34" t="s">
        <v>625</v>
      </c>
      <c r="B10" s="37" t="n">
        <v>0.18</v>
      </c>
      <c r="C10" s="36" t="s">
        <v>626</v>
      </c>
    </row>
    <row r="11" customFormat="false" ht="19.5" hidden="false" customHeight="true" outlineLevel="0" collapsed="false">
      <c r="A11" s="34" t="s">
        <v>627</v>
      </c>
      <c r="B11" s="37" t="n">
        <v>0.05</v>
      </c>
      <c r="C11" s="36" t="s">
        <v>628</v>
      </c>
    </row>
    <row r="12" customFormat="false" ht="19.5" hidden="false" customHeight="true" outlineLevel="0" collapsed="false">
      <c r="A12" s="34" t="s">
        <v>629</v>
      </c>
      <c r="B12" s="37" t="n">
        <v>0.04</v>
      </c>
      <c r="C12" s="36" t="s">
        <v>630</v>
      </c>
    </row>
    <row r="15" customFormat="false" ht="21.75" hidden="false" customHeight="true" outlineLevel="0" collapsed="false">
      <c r="A15" s="32" t="s">
        <v>631</v>
      </c>
      <c r="B15" s="32"/>
      <c r="C15" s="32"/>
      <c r="D15" s="32"/>
      <c r="E15" s="32"/>
      <c r="F15" s="32"/>
      <c r="G15" s="32"/>
      <c r="H15" s="32"/>
    </row>
    <row r="16" customFormat="false" ht="15" hidden="false" customHeight="true" outlineLevel="0" collapsed="false">
      <c r="A16" s="38" t="s">
        <v>632</v>
      </c>
      <c r="B16" s="38" t="s">
        <v>633</v>
      </c>
      <c r="C16" s="38" t="s">
        <v>634</v>
      </c>
      <c r="D16" s="38" t="s">
        <v>635</v>
      </c>
      <c r="E16" s="38" t="s">
        <v>636</v>
      </c>
      <c r="F16" s="38" t="s">
        <v>637</v>
      </c>
      <c r="G16" s="38" t="s">
        <v>638</v>
      </c>
      <c r="H16" s="38" t="s">
        <v>639</v>
      </c>
    </row>
    <row r="17" customFormat="false" ht="19.5" hidden="false" customHeight="true" outlineLevel="0" collapsed="false">
      <c r="A17" s="39" t="s">
        <v>640</v>
      </c>
      <c r="B17" s="40" t="n">
        <f aca="false">$B$5</f>
        <v>45000000</v>
      </c>
      <c r="C17" s="40" t="n">
        <f aca="false">$B$5*(1+$B$6)</f>
        <v>48600000</v>
      </c>
      <c r="D17" s="40" t="n">
        <f aca="false">$B$5*(1+$B$7)</f>
        <v>51750000</v>
      </c>
      <c r="E17" s="40" t="n">
        <f aca="false">$B$5*(1+$B$8)</f>
        <v>46350000</v>
      </c>
      <c r="F17" s="40" t="n">
        <f aca="false">$B$5*(1+$B$6)^2</f>
        <v>52488000</v>
      </c>
      <c r="G17" s="40" t="n">
        <f aca="false">$B$5*(1+$B$7)^2</f>
        <v>59512500</v>
      </c>
      <c r="H17" s="40" t="n">
        <f aca="false">$B$5*(1+$B$8)^2</f>
        <v>47740500</v>
      </c>
    </row>
    <row r="18" customFormat="false" ht="19.5" hidden="false" customHeight="true" outlineLevel="0" collapsed="false">
      <c r="A18" s="41" t="s">
        <v>641</v>
      </c>
      <c r="B18" s="42" t="n">
        <f aca="false">B17*$B$9</f>
        <v>14400000</v>
      </c>
      <c r="C18" s="42" t="n">
        <f aca="false">C17*$B$9</f>
        <v>15552000</v>
      </c>
      <c r="D18" s="42" t="n">
        <f aca="false">D17*$B$9</f>
        <v>16560000</v>
      </c>
      <c r="E18" s="42" t="n">
        <f aca="false">E17*$B$9</f>
        <v>14832000</v>
      </c>
      <c r="F18" s="42" t="n">
        <f aca="false">F17*$B$9</f>
        <v>16796160</v>
      </c>
      <c r="G18" s="42" t="n">
        <f aca="false">G17*$B$9</f>
        <v>19044000</v>
      </c>
      <c r="H18" s="42" t="n">
        <f aca="false">H17*$B$9</f>
        <v>15276960</v>
      </c>
    </row>
    <row r="19" customFormat="false" ht="19.5" hidden="false" customHeight="true" outlineLevel="0" collapsed="false">
      <c r="A19" s="39" t="s">
        <v>642</v>
      </c>
      <c r="B19" s="43" t="n">
        <f aca="false">B17*$B$10</f>
        <v>8100000</v>
      </c>
      <c r="C19" s="43" t="n">
        <f aca="false">C17*$B$10</f>
        <v>8748000</v>
      </c>
      <c r="D19" s="43" t="n">
        <f aca="false">D17*$B$10</f>
        <v>9315000</v>
      </c>
      <c r="E19" s="43" t="n">
        <f aca="false">E17*$B$10</f>
        <v>8343000</v>
      </c>
      <c r="F19" s="43" t="n">
        <f aca="false">F17*$B$10</f>
        <v>9447840</v>
      </c>
      <c r="G19" s="43" t="n">
        <f aca="false">G17*$B$10</f>
        <v>10712250</v>
      </c>
      <c r="H19" s="43" t="n">
        <f aca="false">H17*$B$10</f>
        <v>8593290</v>
      </c>
    </row>
    <row r="20" customFormat="false" ht="19.5" hidden="false" customHeight="true" outlineLevel="0" collapsed="false">
      <c r="A20" s="44" t="s">
        <v>643</v>
      </c>
      <c r="B20" s="45" t="n">
        <f aca="false">B18-B19</f>
        <v>6300000</v>
      </c>
      <c r="C20" s="45" t="n">
        <f aca="false">C18-C19</f>
        <v>6804000</v>
      </c>
      <c r="D20" s="45" t="n">
        <f aca="false">D18-D19</f>
        <v>7245000</v>
      </c>
      <c r="E20" s="45" t="n">
        <f aca="false">E18-E19</f>
        <v>6489000</v>
      </c>
      <c r="F20" s="45" t="n">
        <f aca="false">F18-F19</f>
        <v>7348320</v>
      </c>
      <c r="G20" s="45" t="n">
        <f aca="false">G18-G19</f>
        <v>8331750</v>
      </c>
      <c r="H20" s="45" t="n">
        <f aca="false">H18-H19</f>
        <v>6683670</v>
      </c>
    </row>
    <row r="21" customFormat="false" ht="19.5" hidden="false" customHeight="true" outlineLevel="0" collapsed="false">
      <c r="A21" s="39" t="s">
        <v>644</v>
      </c>
      <c r="B21" s="43" t="n">
        <f aca="false">B17*$B$12</f>
        <v>1800000</v>
      </c>
      <c r="C21" s="43" t="n">
        <f aca="false">C17*$B$12</f>
        <v>1944000</v>
      </c>
      <c r="D21" s="43" t="n">
        <f aca="false">D17*$B$12</f>
        <v>2070000</v>
      </c>
      <c r="E21" s="43" t="n">
        <f aca="false">E17*$B$12</f>
        <v>1854000</v>
      </c>
      <c r="F21" s="43" t="n">
        <f aca="false">F17*$B$12</f>
        <v>2099520</v>
      </c>
      <c r="G21" s="43" t="n">
        <f aca="false">G17*$B$12</f>
        <v>2380500</v>
      </c>
      <c r="H21" s="43" t="n">
        <f aca="false">H17*$B$12</f>
        <v>1909620</v>
      </c>
    </row>
  </sheetData>
  <mergeCells count="4">
    <mergeCell ref="A1:H1"/>
    <mergeCell ref="A2:H2"/>
    <mergeCell ref="A4:D4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20"/>
    <col collapsed="false" customWidth="true" hidden="false" outlineLevel="0" max="7" min="7" style="1" width="18"/>
  </cols>
  <sheetData>
    <row r="1" customFormat="false" ht="24" hidden="false" customHeight="true" outlineLevel="0" collapsed="false">
      <c r="A1" s="32" t="s">
        <v>645</v>
      </c>
      <c r="B1" s="32"/>
      <c r="C1" s="32"/>
      <c r="D1" s="32"/>
      <c r="E1" s="32"/>
      <c r="F1" s="32"/>
      <c r="G1" s="32"/>
    </row>
    <row r="2" customFormat="false" ht="21.75" hidden="false" customHeight="true" outlineLevel="0" collapsed="false">
      <c r="A2" s="2" t="s">
        <v>5</v>
      </c>
      <c r="B2" s="2" t="s">
        <v>6</v>
      </c>
      <c r="C2" s="2" t="s">
        <v>4</v>
      </c>
      <c r="D2" s="2" t="s">
        <v>646</v>
      </c>
      <c r="E2" s="2" t="s">
        <v>647</v>
      </c>
      <c r="F2" s="2" t="s">
        <v>648</v>
      </c>
      <c r="G2" s="2" t="s">
        <v>649</v>
      </c>
    </row>
    <row r="3" customFormat="false" ht="15" hidden="false" customHeight="true" outlineLevel="0" collapsed="false">
      <c r="A3" s="46" t="s">
        <v>198</v>
      </c>
      <c r="B3" s="47" t="s">
        <v>199</v>
      </c>
      <c r="C3" s="46" t="s">
        <v>23</v>
      </c>
      <c r="D3" s="46" t="n">
        <v>31.7</v>
      </c>
      <c r="E3" s="48" t="n">
        <v>30</v>
      </c>
      <c r="F3" s="49" t="n">
        <v>1.06</v>
      </c>
      <c r="G3" s="50" t="s">
        <v>650</v>
      </c>
    </row>
    <row r="4" customFormat="false" ht="15" hidden="false" customHeight="true" outlineLevel="0" collapsed="false">
      <c r="A4" s="51" t="s">
        <v>84</v>
      </c>
      <c r="B4" s="52" t="s">
        <v>85</v>
      </c>
      <c r="C4" s="51" t="s">
        <v>62</v>
      </c>
      <c r="D4" s="51" t="n">
        <v>29.1</v>
      </c>
      <c r="E4" s="53" t="n">
        <v>100</v>
      </c>
      <c r="F4" s="54" t="n">
        <v>0.29</v>
      </c>
      <c r="G4" s="55" t="s">
        <v>651</v>
      </c>
    </row>
    <row r="5" customFormat="false" ht="15" hidden="false" customHeight="true" outlineLevel="0" collapsed="false">
      <c r="A5" s="51" t="s">
        <v>18</v>
      </c>
      <c r="B5" s="52" t="s">
        <v>19</v>
      </c>
      <c r="C5" s="51" t="s">
        <v>17</v>
      </c>
      <c r="D5" s="51" t="n">
        <v>23.1</v>
      </c>
      <c r="E5" s="53" t="n">
        <v>86</v>
      </c>
      <c r="F5" s="54" t="n">
        <v>0.27</v>
      </c>
      <c r="G5" s="55" t="s">
        <v>651</v>
      </c>
    </row>
    <row r="6" customFormat="false" ht="15" hidden="false" customHeight="true" outlineLevel="0" collapsed="false">
      <c r="A6" s="51" t="s">
        <v>24</v>
      </c>
      <c r="B6" s="52" t="s">
        <v>25</v>
      </c>
      <c r="C6" s="51" t="s">
        <v>23</v>
      </c>
      <c r="D6" s="51" t="n">
        <v>29.1</v>
      </c>
      <c r="E6" s="53" t="n">
        <v>108</v>
      </c>
      <c r="F6" s="54" t="n">
        <v>0.27</v>
      </c>
      <c r="G6" s="55" t="s">
        <v>651</v>
      </c>
    </row>
    <row r="7" customFormat="false" ht="15" hidden="false" customHeight="true" outlineLevel="0" collapsed="false">
      <c r="A7" s="51" t="s">
        <v>69</v>
      </c>
      <c r="B7" s="52" t="s">
        <v>70</v>
      </c>
      <c r="C7" s="51" t="s">
        <v>62</v>
      </c>
      <c r="D7" s="51" t="n">
        <v>27.2</v>
      </c>
      <c r="E7" s="53" t="n">
        <v>105</v>
      </c>
      <c r="F7" s="54" t="n">
        <v>0.26</v>
      </c>
      <c r="G7" s="55" t="s">
        <v>651</v>
      </c>
    </row>
    <row r="8" customFormat="false" ht="15" hidden="false" customHeight="true" outlineLevel="0" collapsed="false">
      <c r="A8" s="51" t="s">
        <v>96</v>
      </c>
      <c r="B8" s="52" t="s">
        <v>97</v>
      </c>
      <c r="C8" s="51" t="s">
        <v>62</v>
      </c>
      <c r="D8" s="51" t="n">
        <v>22.9</v>
      </c>
      <c r="E8" s="53" t="n">
        <v>92</v>
      </c>
      <c r="F8" s="54" t="n">
        <v>0.25</v>
      </c>
      <c r="G8" s="55" t="s">
        <v>651</v>
      </c>
    </row>
    <row r="9" customFormat="false" ht="15" hidden="false" customHeight="true" outlineLevel="0" collapsed="false">
      <c r="A9" s="51" t="s">
        <v>126</v>
      </c>
      <c r="B9" s="52" t="s">
        <v>127</v>
      </c>
      <c r="C9" s="51" t="s">
        <v>30</v>
      </c>
      <c r="D9" s="51" t="n">
        <v>27.6</v>
      </c>
      <c r="E9" s="53" t="n">
        <v>116</v>
      </c>
      <c r="F9" s="54" t="n">
        <v>0.24</v>
      </c>
      <c r="G9" s="55" t="s">
        <v>651</v>
      </c>
    </row>
    <row r="10" customFormat="false" ht="15" hidden="false" customHeight="true" outlineLevel="0" collapsed="false">
      <c r="A10" s="51" t="s">
        <v>44</v>
      </c>
      <c r="B10" s="52" t="s">
        <v>45</v>
      </c>
      <c r="C10" s="51" t="s">
        <v>17</v>
      </c>
      <c r="D10" s="51" t="n">
        <v>27.9</v>
      </c>
      <c r="E10" s="53" t="n">
        <v>122</v>
      </c>
      <c r="F10" s="54" t="n">
        <v>0.23</v>
      </c>
      <c r="G10" s="55" t="s">
        <v>651</v>
      </c>
    </row>
    <row r="11" customFormat="false" ht="15" hidden="false" customHeight="true" outlineLevel="0" collapsed="false">
      <c r="A11" s="51" t="s">
        <v>59</v>
      </c>
      <c r="B11" s="52" t="s">
        <v>60</v>
      </c>
      <c r="C11" s="51" t="s">
        <v>17</v>
      </c>
      <c r="D11" s="51" t="n">
        <v>26.3</v>
      </c>
      <c r="E11" s="53" t="n">
        <v>118</v>
      </c>
      <c r="F11" s="54" t="n">
        <v>0.22</v>
      </c>
      <c r="G11" s="55" t="s">
        <v>651</v>
      </c>
    </row>
    <row r="12" customFormat="false" ht="15" hidden="false" customHeight="true" outlineLevel="0" collapsed="false">
      <c r="A12" s="51" t="s">
        <v>204</v>
      </c>
      <c r="B12" s="52" t="s">
        <v>205</v>
      </c>
      <c r="C12" s="51" t="s">
        <v>23</v>
      </c>
      <c r="D12" s="51" t="n">
        <v>20.5</v>
      </c>
      <c r="E12" s="53" t="n">
        <v>92</v>
      </c>
      <c r="F12" s="54" t="n">
        <v>0.22</v>
      </c>
      <c r="G12" s="55" t="s">
        <v>651</v>
      </c>
    </row>
    <row r="13" customFormat="false" ht="15" hidden="false" customHeight="true" outlineLevel="0" collapsed="false">
      <c r="A13" s="51" t="s">
        <v>36</v>
      </c>
      <c r="B13" s="52" t="s">
        <v>37</v>
      </c>
      <c r="C13" s="51" t="s">
        <v>30</v>
      </c>
      <c r="D13" s="51" t="n">
        <v>18.6</v>
      </c>
      <c r="E13" s="53" t="n">
        <v>90</v>
      </c>
      <c r="F13" s="54" t="n">
        <v>0.21</v>
      </c>
      <c r="G13" s="55" t="s">
        <v>651</v>
      </c>
    </row>
    <row r="14" customFormat="false" ht="15" hidden="false" customHeight="true" outlineLevel="0" collapsed="false">
      <c r="A14" s="51" t="s">
        <v>66</v>
      </c>
      <c r="B14" s="52" t="s">
        <v>67</v>
      </c>
      <c r="C14" s="51" t="s">
        <v>17</v>
      </c>
      <c r="D14" s="51" t="n">
        <v>23.6</v>
      </c>
      <c r="E14" s="53" t="n">
        <v>113</v>
      </c>
      <c r="F14" s="54" t="n">
        <v>0.21</v>
      </c>
      <c r="G14" s="55" t="s">
        <v>651</v>
      </c>
    </row>
    <row r="15" customFormat="false" ht="15" hidden="false" customHeight="true" outlineLevel="0" collapsed="false">
      <c r="A15" s="51" t="s">
        <v>87</v>
      </c>
      <c r="B15" s="52" t="s">
        <v>88</v>
      </c>
      <c r="C15" s="51" t="s">
        <v>30</v>
      </c>
      <c r="D15" s="51" t="n">
        <v>31.3</v>
      </c>
      <c r="E15" s="53" t="n">
        <v>154</v>
      </c>
      <c r="F15" s="54" t="n">
        <v>0.2</v>
      </c>
      <c r="G15" s="55" t="s">
        <v>651</v>
      </c>
    </row>
    <row r="16" customFormat="false" ht="15" hidden="false" customHeight="true" outlineLevel="0" collapsed="false">
      <c r="A16" s="51" t="s">
        <v>90</v>
      </c>
      <c r="B16" s="52" t="s">
        <v>91</v>
      </c>
      <c r="C16" s="51" t="s">
        <v>23</v>
      </c>
      <c r="D16" s="51" t="n">
        <v>20.2</v>
      </c>
      <c r="E16" s="53" t="n">
        <v>101</v>
      </c>
      <c r="F16" s="54" t="n">
        <v>0.2</v>
      </c>
      <c r="G16" s="55" t="s">
        <v>651</v>
      </c>
    </row>
    <row r="17" customFormat="false" ht="15" hidden="false" customHeight="true" outlineLevel="0" collapsed="false">
      <c r="A17" s="51" t="s">
        <v>220</v>
      </c>
      <c r="B17" s="52" t="s">
        <v>221</v>
      </c>
      <c r="C17" s="51" t="s">
        <v>39</v>
      </c>
      <c r="D17" s="51" t="n">
        <v>22.4</v>
      </c>
      <c r="E17" s="53" t="n">
        <v>118</v>
      </c>
      <c r="F17" s="54" t="n">
        <v>0.19</v>
      </c>
      <c r="G17" s="55" t="s">
        <v>651</v>
      </c>
    </row>
    <row r="18" customFormat="false" ht="15" hidden="false" customHeight="true" outlineLevel="0" collapsed="false">
      <c r="A18" s="51" t="s">
        <v>143</v>
      </c>
      <c r="B18" s="52" t="s">
        <v>144</v>
      </c>
      <c r="C18" s="51" t="s">
        <v>39</v>
      </c>
      <c r="D18" s="51" t="n">
        <v>24.6</v>
      </c>
      <c r="E18" s="53" t="n">
        <v>137</v>
      </c>
      <c r="F18" s="54" t="n">
        <v>0.18</v>
      </c>
      <c r="G18" s="55" t="s">
        <v>651</v>
      </c>
    </row>
    <row r="19" customFormat="false" ht="15" hidden="false" customHeight="true" outlineLevel="0" collapsed="false">
      <c r="A19" s="51" t="s">
        <v>63</v>
      </c>
      <c r="B19" s="52" t="s">
        <v>64</v>
      </c>
      <c r="C19" s="51" t="s">
        <v>62</v>
      </c>
      <c r="D19" s="51" t="n">
        <v>25</v>
      </c>
      <c r="E19" s="53" t="n">
        <v>144</v>
      </c>
      <c r="F19" s="54" t="n">
        <v>0.17</v>
      </c>
      <c r="G19" s="55" t="s">
        <v>651</v>
      </c>
    </row>
    <row r="20" customFormat="false" ht="15" hidden="false" customHeight="true" outlineLevel="0" collapsed="false">
      <c r="A20" s="51" t="s">
        <v>99</v>
      </c>
      <c r="B20" s="52" t="s">
        <v>100</v>
      </c>
      <c r="C20" s="51" t="s">
        <v>39</v>
      </c>
      <c r="D20" s="51" t="n">
        <v>22.5</v>
      </c>
      <c r="E20" s="53" t="n">
        <v>129</v>
      </c>
      <c r="F20" s="54" t="n">
        <v>0.17</v>
      </c>
      <c r="G20" s="55" t="s">
        <v>651</v>
      </c>
    </row>
    <row r="21" customFormat="false" ht="15" hidden="false" customHeight="true" outlineLevel="0" collapsed="false">
      <c r="A21" s="51" t="s">
        <v>129</v>
      </c>
      <c r="B21" s="52" t="s">
        <v>130</v>
      </c>
      <c r="C21" s="51" t="s">
        <v>77</v>
      </c>
      <c r="D21" s="51" t="n">
        <v>27.2</v>
      </c>
      <c r="E21" s="53" t="n">
        <v>161</v>
      </c>
      <c r="F21" s="54" t="n">
        <v>0.17</v>
      </c>
      <c r="G21" s="55" t="s">
        <v>651</v>
      </c>
    </row>
    <row r="22" customFormat="false" ht="15" hidden="false" customHeight="true" outlineLevel="0" collapsed="false">
      <c r="A22" s="51" t="s">
        <v>161</v>
      </c>
      <c r="B22" s="52" t="s">
        <v>162</v>
      </c>
      <c r="C22" s="51" t="s">
        <v>39</v>
      </c>
      <c r="D22" s="51" t="n">
        <v>25.4</v>
      </c>
      <c r="E22" s="53" t="n">
        <v>174</v>
      </c>
      <c r="F22" s="54" t="n">
        <v>0.15</v>
      </c>
      <c r="G22" s="55" t="s">
        <v>651</v>
      </c>
    </row>
    <row r="23" customFormat="false" ht="15" hidden="false" customHeight="true" outlineLevel="0" collapsed="false">
      <c r="A23" s="51" t="s">
        <v>31</v>
      </c>
      <c r="B23" s="52" t="s">
        <v>32</v>
      </c>
      <c r="C23" s="51" t="s">
        <v>30</v>
      </c>
      <c r="D23" s="51" t="n">
        <v>20.2</v>
      </c>
      <c r="E23" s="53" t="n">
        <v>147</v>
      </c>
      <c r="F23" s="54" t="n">
        <v>0.14</v>
      </c>
      <c r="G23" s="55" t="s">
        <v>651</v>
      </c>
    </row>
    <row r="24" customFormat="false" ht="15" hidden="false" customHeight="true" outlineLevel="0" collapsed="false">
      <c r="A24" s="51" t="s">
        <v>49</v>
      </c>
      <c r="B24" s="52" t="s">
        <v>50</v>
      </c>
      <c r="C24" s="51" t="s">
        <v>23</v>
      </c>
      <c r="D24" s="51" t="n">
        <v>23.5</v>
      </c>
      <c r="E24" s="53" t="n">
        <v>165</v>
      </c>
      <c r="F24" s="54" t="n">
        <v>0.14</v>
      </c>
      <c r="G24" s="55" t="s">
        <v>651</v>
      </c>
    </row>
    <row r="25" customFormat="false" ht="15" hidden="false" customHeight="true" outlineLevel="0" collapsed="false">
      <c r="A25" s="51" t="s">
        <v>54</v>
      </c>
      <c r="B25" s="52" t="s">
        <v>55</v>
      </c>
      <c r="C25" s="51" t="s">
        <v>17</v>
      </c>
      <c r="D25" s="51" t="n">
        <v>21.8</v>
      </c>
      <c r="E25" s="53" t="n">
        <v>165</v>
      </c>
      <c r="F25" s="54" t="n">
        <v>0.13</v>
      </c>
      <c r="G25" s="55" t="s">
        <v>651</v>
      </c>
    </row>
    <row r="26" customFormat="false" ht="15" hidden="false" customHeight="true" outlineLevel="0" collapsed="false">
      <c r="A26" s="51" t="s">
        <v>180</v>
      </c>
      <c r="B26" s="52" t="s">
        <v>181</v>
      </c>
      <c r="C26" s="51" t="s">
        <v>77</v>
      </c>
      <c r="D26" s="51" t="n">
        <v>24.2</v>
      </c>
      <c r="E26" s="53" t="n">
        <v>193</v>
      </c>
      <c r="F26" s="54" t="n">
        <v>0.13</v>
      </c>
      <c r="G26" s="55" t="s">
        <v>651</v>
      </c>
    </row>
    <row r="27" customFormat="false" ht="15" hidden="false" customHeight="true" outlineLevel="0" collapsed="false">
      <c r="A27" s="51" t="s">
        <v>40</v>
      </c>
      <c r="B27" s="52" t="s">
        <v>41</v>
      </c>
      <c r="C27" s="51" t="s">
        <v>39</v>
      </c>
      <c r="D27" s="51" t="n">
        <v>20.4</v>
      </c>
      <c r="E27" s="53" t="n">
        <v>170</v>
      </c>
      <c r="F27" s="54" t="n">
        <v>0.12</v>
      </c>
      <c r="G27" s="55" t="s">
        <v>651</v>
      </c>
    </row>
    <row r="28" customFormat="false" ht="15" hidden="false" customHeight="true" outlineLevel="0" collapsed="false">
      <c r="A28" s="51" t="s">
        <v>81</v>
      </c>
      <c r="B28" s="52" t="s">
        <v>82</v>
      </c>
      <c r="C28" s="51" t="s">
        <v>77</v>
      </c>
      <c r="D28" s="51" t="n">
        <v>22.3</v>
      </c>
      <c r="E28" s="53" t="n">
        <v>182</v>
      </c>
      <c r="F28" s="54" t="n">
        <v>0.12</v>
      </c>
      <c r="G28" s="55" t="s">
        <v>651</v>
      </c>
    </row>
    <row r="29" customFormat="false" ht="15" hidden="false" customHeight="true" outlineLevel="0" collapsed="false">
      <c r="A29" s="51" t="s">
        <v>103</v>
      </c>
      <c r="B29" s="52" t="s">
        <v>104</v>
      </c>
      <c r="C29" s="51" t="s">
        <v>62</v>
      </c>
      <c r="D29" s="51" t="n">
        <v>21.8</v>
      </c>
      <c r="E29" s="53" t="n">
        <v>177</v>
      </c>
      <c r="F29" s="54" t="n">
        <v>0.12</v>
      </c>
      <c r="G29" s="55" t="s">
        <v>651</v>
      </c>
    </row>
    <row r="30" customFormat="false" ht="15" hidden="false" customHeight="true" outlineLevel="0" collapsed="false">
      <c r="A30" s="51" t="s">
        <v>78</v>
      </c>
      <c r="B30" s="52" t="s">
        <v>79</v>
      </c>
      <c r="C30" s="51" t="s">
        <v>77</v>
      </c>
      <c r="D30" s="51" t="n">
        <v>19.4</v>
      </c>
      <c r="E30" s="53" t="n">
        <v>170</v>
      </c>
      <c r="F30" s="54" t="n">
        <v>0.11</v>
      </c>
      <c r="G30" s="55" t="s">
        <v>651</v>
      </c>
    </row>
    <row r="31" customFormat="false" ht="15" hidden="false" customHeight="true" outlineLevel="0" collapsed="false">
      <c r="A31" s="51" t="s">
        <v>118</v>
      </c>
      <c r="B31" s="52" t="s">
        <v>119</v>
      </c>
      <c r="C31" s="51" t="s">
        <v>30</v>
      </c>
      <c r="D31" s="51" t="n">
        <v>19.6</v>
      </c>
      <c r="E31" s="53" t="n">
        <v>198</v>
      </c>
      <c r="F31" s="54" t="n">
        <v>0.1</v>
      </c>
      <c r="G31" s="55" t="s">
        <v>651</v>
      </c>
    </row>
    <row r="32" customFormat="false" ht="15" hidden="false" customHeight="true" outlineLevel="0" collapsed="false">
      <c r="A32" s="51" t="s">
        <v>152</v>
      </c>
      <c r="B32" s="52" t="s">
        <v>153</v>
      </c>
      <c r="C32" s="51" t="s">
        <v>77</v>
      </c>
      <c r="D32" s="51" t="n">
        <v>15.7</v>
      </c>
      <c r="E32" s="53" t="n">
        <v>174</v>
      </c>
      <c r="F32" s="54" t="n">
        <v>0.09</v>
      </c>
      <c r="G32" s="55" t="s">
        <v>651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2026-06-13T08:24:51Z</dcterms:created>
  <dc:creator>openpyxl</dc:creator>
  <dc:description/>
  <dc:language>en-US</dc:language>
  <cp:lastModifiedBy/>
  <dcterms:modified xsi:type="dcterms:W3CDTF">2026-06-13T08:25:08Z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